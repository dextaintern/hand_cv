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xta\Documents\opencvtest_andrew\saves\"/>
    </mc:Choice>
  </mc:AlternateContent>
  <xr:revisionPtr revIDLastSave="0" documentId="13_ncr:1_{A41B74FA-5189-491B-88CA-0B87928D59F0}" xr6:coauthVersionLast="43" xr6:coauthVersionMax="43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img" sheetId="1" r:id="rId1"/>
    <sheet name="diff" sheetId="12" r:id="rId2"/>
    <sheet name="thumb" sheetId="11" r:id="rId3"/>
    <sheet name="corr" sheetId="6" r:id="rId4"/>
    <sheet name="calib" sheetId="2" r:id="rId5"/>
    <sheet name="analysis" sheetId="4" r:id="rId6"/>
    <sheet name="new analysis" sheetId="8" r:id="rId7"/>
    <sheet name="further analysis" sheetId="5" r:id="rId8"/>
    <sheet name="fingConstants" sheetId="7" r:id="rId9"/>
    <sheet name="predicc" sheetId="9" r:id="rId10"/>
    <sheet name="Sheet2" sheetId="10" r:id="rId11"/>
  </sheets>
  <functionGroups builtInGroupCount="19"/>
  <definedNames>
    <definedName name="scale">fingConstants!$P$1</definedName>
    <definedName name="X">analysis!$G$2:$J$64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Y47" i="12" l="1"/>
  <c r="Z47" i="12"/>
  <c r="AA47" i="12"/>
  <c r="AB47" i="12"/>
  <c r="C47" i="12"/>
  <c r="D47" i="12"/>
  <c r="E47" i="12"/>
  <c r="F47" i="12"/>
  <c r="G47" i="12"/>
  <c r="H47" i="12"/>
  <c r="I47" i="12"/>
  <c r="J47" i="12"/>
  <c r="K47" i="12"/>
  <c r="L47" i="12"/>
  <c r="M47" i="12"/>
  <c r="N47" i="12"/>
  <c r="O47" i="12"/>
  <c r="P47" i="12"/>
  <c r="Q47" i="12"/>
  <c r="R47" i="12"/>
  <c r="S47" i="12"/>
  <c r="T47" i="12"/>
  <c r="U47" i="12"/>
  <c r="V47" i="12"/>
  <c r="W47" i="12"/>
  <c r="B47" i="12"/>
  <c r="V42" i="12" l="1"/>
  <c r="W42" i="12"/>
  <c r="Y42" i="12"/>
  <c r="Z42" i="12"/>
  <c r="AA42" i="12"/>
  <c r="AB42" i="12"/>
  <c r="C42" i="12"/>
  <c r="D42" i="12"/>
  <c r="E42" i="12"/>
  <c r="F42" i="12"/>
  <c r="G42" i="12"/>
  <c r="H42" i="12"/>
  <c r="I42" i="12"/>
  <c r="J42" i="12"/>
  <c r="K42" i="12"/>
  <c r="L42" i="12"/>
  <c r="M42" i="12"/>
  <c r="N42" i="12"/>
  <c r="O42" i="12"/>
  <c r="P42" i="12"/>
  <c r="Q42" i="12"/>
  <c r="R42" i="12"/>
  <c r="S42" i="12"/>
  <c r="U42" i="12"/>
  <c r="B42" i="12"/>
  <c r="AB23" i="12" l="1"/>
  <c r="C20" i="12"/>
  <c r="D20" i="12"/>
  <c r="D25" i="12" s="1"/>
  <c r="E20" i="12"/>
  <c r="E36" i="12" s="1"/>
  <c r="F20" i="12"/>
  <c r="F24" i="12" s="1"/>
  <c r="G20" i="12"/>
  <c r="H20" i="12"/>
  <c r="I20" i="12"/>
  <c r="J20" i="12"/>
  <c r="J25" i="12" s="1"/>
  <c r="K20" i="12"/>
  <c r="K35" i="12" s="1"/>
  <c r="L20" i="12"/>
  <c r="L35" i="12" s="1"/>
  <c r="M20" i="12"/>
  <c r="N20" i="12"/>
  <c r="N23" i="12" s="1"/>
  <c r="O20" i="12"/>
  <c r="P20" i="12"/>
  <c r="P35" i="12" s="1"/>
  <c r="Q20" i="12"/>
  <c r="Q36" i="12" s="1"/>
  <c r="R20" i="12"/>
  <c r="R27" i="12" s="1"/>
  <c r="S20" i="12"/>
  <c r="T20" i="12"/>
  <c r="U20" i="12"/>
  <c r="V20" i="12"/>
  <c r="V25" i="12" s="1"/>
  <c r="W20" i="12"/>
  <c r="W26" i="12" s="1"/>
  <c r="B20" i="12"/>
  <c r="B30" i="12" s="1"/>
  <c r="I35" i="12"/>
  <c r="J35" i="12"/>
  <c r="M35" i="12"/>
  <c r="N35" i="12"/>
  <c r="O35" i="12"/>
  <c r="S35" i="12"/>
  <c r="W23" i="12"/>
  <c r="W28" i="12"/>
  <c r="W29" i="12"/>
  <c r="W30" i="12"/>
  <c r="W32" i="12"/>
  <c r="W35" i="12"/>
  <c r="C23" i="12"/>
  <c r="D23" i="12"/>
  <c r="E23" i="12"/>
  <c r="G23" i="12"/>
  <c r="H23" i="12"/>
  <c r="I23" i="12"/>
  <c r="J23" i="12"/>
  <c r="K23" i="12"/>
  <c r="M23" i="12"/>
  <c r="O23" i="12"/>
  <c r="P23" i="12"/>
  <c r="Q23" i="12"/>
  <c r="S23" i="12"/>
  <c r="T23" i="12"/>
  <c r="U23" i="12"/>
  <c r="V23" i="12"/>
  <c r="C24" i="12"/>
  <c r="G24" i="12"/>
  <c r="H24" i="12"/>
  <c r="I24" i="12"/>
  <c r="M24" i="12"/>
  <c r="N24" i="12"/>
  <c r="O24" i="12"/>
  <c r="R24" i="12"/>
  <c r="S24" i="12"/>
  <c r="T24" i="12"/>
  <c r="U24" i="12"/>
  <c r="C25" i="12"/>
  <c r="G25" i="12"/>
  <c r="H25" i="12"/>
  <c r="I25" i="12"/>
  <c r="M25" i="12"/>
  <c r="O25" i="12"/>
  <c r="S25" i="12"/>
  <c r="T25" i="12"/>
  <c r="U25" i="12"/>
  <c r="C26" i="12"/>
  <c r="D26" i="12"/>
  <c r="E26" i="12"/>
  <c r="G26" i="12"/>
  <c r="H26" i="12"/>
  <c r="I26" i="12"/>
  <c r="J26" i="12"/>
  <c r="K26" i="12"/>
  <c r="M26" i="12"/>
  <c r="O26" i="12"/>
  <c r="P26" i="12"/>
  <c r="Q26" i="12"/>
  <c r="S26" i="12"/>
  <c r="T26" i="12"/>
  <c r="U26" i="12"/>
  <c r="V26" i="12"/>
  <c r="C27" i="12"/>
  <c r="G27" i="12"/>
  <c r="H27" i="12"/>
  <c r="I27" i="12"/>
  <c r="M27" i="12"/>
  <c r="N27" i="12"/>
  <c r="O27" i="12"/>
  <c r="S27" i="12"/>
  <c r="T27" i="12"/>
  <c r="U27" i="12"/>
  <c r="C28" i="12"/>
  <c r="G28" i="12"/>
  <c r="H28" i="12"/>
  <c r="I28" i="12"/>
  <c r="L28" i="12"/>
  <c r="M28" i="12"/>
  <c r="O28" i="12"/>
  <c r="S28" i="12"/>
  <c r="T28" i="12"/>
  <c r="U28" i="12"/>
  <c r="C29" i="12"/>
  <c r="D29" i="12"/>
  <c r="E29" i="12"/>
  <c r="G29" i="12"/>
  <c r="H29" i="12"/>
  <c r="I29" i="12"/>
  <c r="J29" i="12"/>
  <c r="K29" i="12"/>
  <c r="M29" i="12"/>
  <c r="O29" i="12"/>
  <c r="P29" i="12"/>
  <c r="Q29" i="12"/>
  <c r="S29" i="12"/>
  <c r="T29" i="12"/>
  <c r="U29" i="12"/>
  <c r="V29" i="12"/>
  <c r="C30" i="12"/>
  <c r="G30" i="12"/>
  <c r="H30" i="12"/>
  <c r="I30" i="12"/>
  <c r="M30" i="12"/>
  <c r="N30" i="12"/>
  <c r="O30" i="12"/>
  <c r="S30" i="12"/>
  <c r="T30" i="12"/>
  <c r="U30" i="12"/>
  <c r="V30" i="12"/>
  <c r="C31" i="12"/>
  <c r="G31" i="12"/>
  <c r="H31" i="12"/>
  <c r="I31" i="12"/>
  <c r="L31" i="12"/>
  <c r="M31" i="12"/>
  <c r="O31" i="12"/>
  <c r="S31" i="12"/>
  <c r="T31" i="12"/>
  <c r="U31" i="12"/>
  <c r="C32" i="12"/>
  <c r="D32" i="12"/>
  <c r="E32" i="12"/>
  <c r="G32" i="12"/>
  <c r="H32" i="12"/>
  <c r="I32" i="12"/>
  <c r="J32" i="12"/>
  <c r="K32" i="12"/>
  <c r="M32" i="12"/>
  <c r="O32" i="12"/>
  <c r="P32" i="12"/>
  <c r="Q32" i="12"/>
  <c r="S32" i="12"/>
  <c r="T32" i="12"/>
  <c r="U32" i="12"/>
  <c r="V32" i="12"/>
  <c r="C33" i="12"/>
  <c r="G33" i="12"/>
  <c r="H33" i="12"/>
  <c r="I33" i="12"/>
  <c r="M33" i="12"/>
  <c r="N33" i="12"/>
  <c r="O33" i="12"/>
  <c r="S33" i="12"/>
  <c r="T33" i="12"/>
  <c r="U33" i="12"/>
  <c r="C34" i="12"/>
  <c r="G34" i="12"/>
  <c r="H34" i="12"/>
  <c r="I34" i="12"/>
  <c r="L34" i="12"/>
  <c r="M34" i="12"/>
  <c r="O34" i="12"/>
  <c r="S34" i="12"/>
  <c r="T34" i="12"/>
  <c r="U34" i="12"/>
  <c r="C35" i="12"/>
  <c r="D35" i="12"/>
  <c r="E35" i="12"/>
  <c r="G35" i="12"/>
  <c r="H35" i="12"/>
  <c r="T35" i="12"/>
  <c r="U35" i="12"/>
  <c r="V35" i="12"/>
  <c r="C36" i="12"/>
  <c r="D36" i="12"/>
  <c r="G36" i="12"/>
  <c r="H36" i="12"/>
  <c r="I36" i="12"/>
  <c r="M36" i="12"/>
  <c r="N36" i="12"/>
  <c r="O36" i="12"/>
  <c r="P36" i="12"/>
  <c r="S36" i="12"/>
  <c r="T36" i="12"/>
  <c r="U36" i="12"/>
  <c r="C37" i="12"/>
  <c r="D37" i="12"/>
  <c r="G37" i="12"/>
  <c r="H37" i="12"/>
  <c r="I37" i="12"/>
  <c r="J37" i="12"/>
  <c r="K37" i="12"/>
  <c r="L37" i="12"/>
  <c r="M37" i="12"/>
  <c r="O37" i="12"/>
  <c r="P37" i="12"/>
  <c r="S37" i="12"/>
  <c r="T37" i="12"/>
  <c r="U37" i="12"/>
  <c r="V37" i="12"/>
  <c r="C38" i="12"/>
  <c r="D38" i="12"/>
  <c r="G38" i="12"/>
  <c r="H38" i="12"/>
  <c r="I38" i="12"/>
  <c r="J38" i="12"/>
  <c r="M38" i="12"/>
  <c r="N38" i="12"/>
  <c r="O38" i="12"/>
  <c r="P38" i="12"/>
  <c r="S38" i="12"/>
  <c r="T38" i="12"/>
  <c r="U38" i="12"/>
  <c r="V38" i="12"/>
  <c r="B28" i="12"/>
  <c r="B29" i="12"/>
  <c r="B33" i="12"/>
  <c r="B23" i="12"/>
  <c r="Q84" i="1"/>
  <c r="P84" i="1"/>
  <c r="Q83" i="1"/>
  <c r="P83" i="1"/>
  <c r="Q82" i="1"/>
  <c r="P82" i="1"/>
  <c r="Q81" i="1"/>
  <c r="P81" i="1"/>
  <c r="L38" i="12" l="1"/>
  <c r="Q33" i="12"/>
  <c r="E33" i="12"/>
  <c r="Q30" i="12"/>
  <c r="E30" i="12"/>
  <c r="Q27" i="12"/>
  <c r="E27" i="12"/>
  <c r="Q24" i="12"/>
  <c r="E24" i="12"/>
  <c r="W37" i="12"/>
  <c r="W25" i="12"/>
  <c r="K38" i="12"/>
  <c r="P33" i="12"/>
  <c r="D33" i="12"/>
  <c r="L32" i="12"/>
  <c r="P30" i="12"/>
  <c r="D30" i="12"/>
  <c r="AB30" i="12" s="1"/>
  <c r="L29" i="12"/>
  <c r="P27" i="12"/>
  <c r="D27" i="12"/>
  <c r="L26" i="12"/>
  <c r="P24" i="12"/>
  <c r="D24" i="12"/>
  <c r="AB24" i="12" s="1"/>
  <c r="L23" i="12"/>
  <c r="Y23" i="12" s="1"/>
  <c r="W36" i="12"/>
  <c r="W24" i="12"/>
  <c r="R37" i="12"/>
  <c r="F31" i="12"/>
  <c r="F25" i="12"/>
  <c r="W34" i="12"/>
  <c r="E37" i="12"/>
  <c r="R34" i="12"/>
  <c r="R31" i="12"/>
  <c r="R28" i="12"/>
  <c r="F28" i="12"/>
  <c r="R25" i="12"/>
  <c r="Q34" i="12"/>
  <c r="E34" i="12"/>
  <c r="Q31" i="12"/>
  <c r="E31" i="12"/>
  <c r="E28" i="12"/>
  <c r="Q25" i="12"/>
  <c r="E25" i="12"/>
  <c r="W33" i="12"/>
  <c r="R35" i="12"/>
  <c r="D34" i="12"/>
  <c r="P31" i="12"/>
  <c r="D31" i="12"/>
  <c r="L30" i="12"/>
  <c r="P28" i="12"/>
  <c r="D28" i="12"/>
  <c r="L27" i="12"/>
  <c r="P25" i="12"/>
  <c r="L24" i="12"/>
  <c r="Q35" i="12"/>
  <c r="Y35" i="12" s="1"/>
  <c r="K36" i="12"/>
  <c r="P34" i="12"/>
  <c r="L33" i="12"/>
  <c r="R38" i="12"/>
  <c r="F38" i="12"/>
  <c r="N37" i="12"/>
  <c r="V36" i="12"/>
  <c r="J36" i="12"/>
  <c r="K33" i="12"/>
  <c r="K30" i="12"/>
  <c r="K27" i="12"/>
  <c r="K24" i="12"/>
  <c r="W31" i="12"/>
  <c r="F37" i="12"/>
  <c r="Q37" i="12"/>
  <c r="F34" i="12"/>
  <c r="L36" i="12"/>
  <c r="Q28" i="12"/>
  <c r="Q38" i="12"/>
  <c r="E38" i="12"/>
  <c r="F35" i="12"/>
  <c r="Z35" i="12" s="1"/>
  <c r="N34" i="12"/>
  <c r="V33" i="12"/>
  <c r="J33" i="12"/>
  <c r="R32" i="12"/>
  <c r="F32" i="12"/>
  <c r="N31" i="12"/>
  <c r="J30" i="12"/>
  <c r="R29" i="12"/>
  <c r="F29" i="12"/>
  <c r="N28" i="12"/>
  <c r="V27" i="12"/>
  <c r="J27" i="12"/>
  <c r="R26" i="12"/>
  <c r="F26" i="12"/>
  <c r="N25" i="12"/>
  <c r="V24" i="12"/>
  <c r="J24" i="12"/>
  <c r="R23" i="12"/>
  <c r="F23" i="12"/>
  <c r="L25" i="12"/>
  <c r="AA23" i="12"/>
  <c r="F36" i="12"/>
  <c r="K34" i="12"/>
  <c r="K31" i="12"/>
  <c r="K28" i="12"/>
  <c r="K25" i="12"/>
  <c r="R36" i="12"/>
  <c r="W27" i="12"/>
  <c r="V34" i="12"/>
  <c r="J34" i="12"/>
  <c r="R33" i="12"/>
  <c r="F33" i="12"/>
  <c r="N32" i="12"/>
  <c r="V31" i="12"/>
  <c r="J31" i="12"/>
  <c r="R30" i="12"/>
  <c r="F30" i="12"/>
  <c r="Z30" i="12" s="1"/>
  <c r="N29" i="12"/>
  <c r="V28" i="12"/>
  <c r="J28" i="12"/>
  <c r="F27" i="12"/>
  <c r="N26" i="12"/>
  <c r="W38" i="12"/>
  <c r="B24" i="12"/>
  <c r="B38" i="12"/>
  <c r="AB38" i="12" s="1"/>
  <c r="B26" i="12"/>
  <c r="B37" i="12"/>
  <c r="B25" i="12"/>
  <c r="AB25" i="12" s="1"/>
  <c r="B36" i="12"/>
  <c r="AB36" i="12" s="1"/>
  <c r="B27" i="12"/>
  <c r="B35" i="12"/>
  <c r="B34" i="12"/>
  <c r="Z23" i="12"/>
  <c r="AA29" i="12"/>
  <c r="B32" i="12"/>
  <c r="AB32" i="12" s="1"/>
  <c r="B31" i="12"/>
  <c r="R115" i="8"/>
  <c r="R114" i="8" a="1"/>
  <c r="R114" i="8" s="1"/>
  <c r="R2" i="1"/>
  <c r="R18" i="1"/>
  <c r="R34" i="1"/>
  <c r="H88" i="8"/>
  <c r="I88" i="8"/>
  <c r="J88" i="8"/>
  <c r="K88" i="8"/>
  <c r="I87" i="8"/>
  <c r="J87" i="8"/>
  <c r="K87" i="8"/>
  <c r="H87" i="8"/>
  <c r="K85" i="8"/>
  <c r="I85" i="8"/>
  <c r="J85" i="8"/>
  <c r="H85" i="8"/>
  <c r="K84" i="8" a="1"/>
  <c r="K84" i="8" s="1"/>
  <c r="J84" i="8" a="1"/>
  <c r="J84" i="8" s="1"/>
  <c r="I84" i="8" a="1"/>
  <c r="I84" i="8" s="1"/>
  <c r="H84" i="8" a="1"/>
  <c r="H84" i="8" s="1"/>
  <c r="Q69" i="1"/>
  <c r="P69" i="1"/>
  <c r="Q67" i="1"/>
  <c r="P67" i="1"/>
  <c r="Q79" i="1"/>
  <c r="P79" i="1"/>
  <c r="Q78" i="1"/>
  <c r="P78" i="1"/>
  <c r="Q77" i="1"/>
  <c r="P77" i="1"/>
  <c r="Q76" i="1"/>
  <c r="P76" i="1"/>
  <c r="Q74" i="1"/>
  <c r="P74" i="1"/>
  <c r="Q73" i="1"/>
  <c r="P73" i="1"/>
  <c r="Q72" i="1"/>
  <c r="P72" i="1"/>
  <c r="Q71" i="1"/>
  <c r="P71" i="1"/>
  <c r="K82" i="8" a="1"/>
  <c r="K82" i="8" s="1"/>
  <c r="J82" i="8" a="1"/>
  <c r="J82" i="8" s="1"/>
  <c r="I82" i="8" a="1"/>
  <c r="I82" i="8" s="1"/>
  <c r="H82" i="8" a="1"/>
  <c r="H82" i="8" s="1"/>
  <c r="AG74" i="1"/>
  <c r="AT26" i="11" a="1"/>
  <c r="AS26" i="11" a="1"/>
  <c r="AS26" i="11" s="1"/>
  <c r="AR26" i="11" a="1"/>
  <c r="AR26" i="11" s="1"/>
  <c r="AQ26" i="11" a="1"/>
  <c r="AQ26" i="11" s="1"/>
  <c r="AN26" i="11" a="1"/>
  <c r="AN26" i="11" s="1"/>
  <c r="AM26" i="11" a="1"/>
  <c r="AM26" i="11" s="1"/>
  <c r="AL26" i="11" a="1"/>
  <c r="AL26" i="11" s="1"/>
  <c r="AG26" i="11" a="1"/>
  <c r="AG26" i="11" s="1"/>
  <c r="AF26" i="11" a="1"/>
  <c r="AF26" i="11" s="1"/>
  <c r="V26" i="11" a="1"/>
  <c r="V26" i="11" s="1"/>
  <c r="AT3" i="11"/>
  <c r="AT4" i="11"/>
  <c r="AT5" i="11"/>
  <c r="AT6" i="11"/>
  <c r="AT7" i="11"/>
  <c r="AT8" i="11"/>
  <c r="AT11" i="11"/>
  <c r="AT13" i="11"/>
  <c r="AT14" i="11"/>
  <c r="AT25" i="11"/>
  <c r="AT16" i="11"/>
  <c r="AT17" i="11"/>
  <c r="AT18" i="11"/>
  <c r="AT2" i="11"/>
  <c r="AG27" i="11"/>
  <c r="AF27" i="11"/>
  <c r="P26" i="11" a="1"/>
  <c r="P26" i="11" s="1"/>
  <c r="O26" i="11" a="1"/>
  <c r="O26" i="11" s="1"/>
  <c r="Q25" i="11"/>
  <c r="Q3" i="11"/>
  <c r="Q4" i="11"/>
  <c r="Q5" i="11"/>
  <c r="Q6" i="11"/>
  <c r="Q8" i="11"/>
  <c r="Q9" i="11"/>
  <c r="Q10" i="11"/>
  <c r="Q11" i="11"/>
  <c r="Q12" i="11"/>
  <c r="Q13" i="11"/>
  <c r="Q14" i="11"/>
  <c r="Q15" i="11"/>
  <c r="Q16" i="11"/>
  <c r="Q17" i="11"/>
  <c r="Q18" i="11"/>
  <c r="Q2" i="11"/>
  <c r="Q27" i="11" s="1"/>
  <c r="AB37" i="12" l="1"/>
  <c r="AA28" i="12"/>
  <c r="Y29" i="12"/>
  <c r="AB28" i="12"/>
  <c r="AA33" i="12"/>
  <c r="Z28" i="12"/>
  <c r="AB34" i="12"/>
  <c r="AB29" i="12"/>
  <c r="AB26" i="12"/>
  <c r="AB31" i="12"/>
  <c r="Y30" i="12"/>
  <c r="AA30" i="12"/>
  <c r="AA35" i="12"/>
  <c r="AB35" i="12"/>
  <c r="AB33" i="12"/>
  <c r="AB27" i="12"/>
  <c r="Y28" i="12"/>
  <c r="Y33" i="12"/>
  <c r="Z33" i="12"/>
  <c r="Z29" i="12"/>
  <c r="Y36" i="12"/>
  <c r="Z36" i="12"/>
  <c r="AA36" i="12"/>
  <c r="AA31" i="12"/>
  <c r="Z31" i="12"/>
  <c r="AA32" i="12"/>
  <c r="Y32" i="12"/>
  <c r="Z32" i="12"/>
  <c r="AA25" i="12"/>
  <c r="Z25" i="12"/>
  <c r="Y25" i="12"/>
  <c r="AA38" i="12"/>
  <c r="Z38" i="12"/>
  <c r="Y38" i="12"/>
  <c r="Z24" i="12"/>
  <c r="Y24" i="12"/>
  <c r="AA24" i="12"/>
  <c r="Z37" i="12"/>
  <c r="Y37" i="12"/>
  <c r="AA37" i="12"/>
  <c r="Z26" i="12"/>
  <c r="Y26" i="12"/>
  <c r="AA26" i="12"/>
  <c r="Z34" i="12"/>
  <c r="Y34" i="12"/>
  <c r="AA34" i="12"/>
  <c r="AA27" i="12"/>
  <c r="Z27" i="12"/>
  <c r="Y27" i="12"/>
  <c r="AT23" i="11"/>
  <c r="AT26" i="11"/>
  <c r="Q26" i="11" a="1"/>
  <c r="Q26" i="11" s="1"/>
  <c r="Q23" i="11"/>
  <c r="R28" i="1"/>
  <c r="R44" i="1"/>
  <c r="R59" i="1"/>
  <c r="R15" i="1"/>
  <c r="R26" i="1"/>
  <c r="R35" i="1"/>
  <c r="R8" i="1"/>
  <c r="R29" i="1"/>
  <c r="R41" i="1"/>
  <c r="R51" i="1"/>
  <c r="R11" i="1"/>
  <c r="R30" i="1"/>
  <c r="R45" i="1"/>
  <c r="R64" i="1"/>
  <c r="R16" i="1"/>
  <c r="R33" i="1"/>
  <c r="R48" i="1"/>
  <c r="R63" i="1"/>
  <c r="R3" i="1"/>
  <c r="R22" i="1"/>
  <c r="R43" i="1"/>
  <c r="R55" i="1"/>
  <c r="R13" i="1"/>
  <c r="R31" i="1"/>
  <c r="R47" i="1"/>
  <c r="R56" i="1"/>
  <c r="R9" i="1"/>
  <c r="R25" i="1"/>
  <c r="R40" i="1"/>
  <c r="R57" i="1"/>
  <c r="R17" i="1"/>
  <c r="R32" i="1"/>
  <c r="R49" i="1"/>
  <c r="R60" i="1"/>
  <c r="R12" i="1"/>
  <c r="R27" i="1"/>
  <c r="R46" i="1"/>
  <c r="R61" i="1"/>
  <c r="R5" i="1"/>
  <c r="R24" i="1"/>
  <c r="R38" i="1"/>
  <c r="R58" i="1"/>
  <c r="R7" i="1"/>
  <c r="R20" i="1"/>
  <c r="R42" i="1"/>
  <c r="R54" i="1"/>
  <c r="R4" i="1"/>
  <c r="R19" i="1"/>
  <c r="R37" i="1"/>
  <c r="R52" i="1"/>
  <c r="R14" i="1"/>
  <c r="R23" i="1"/>
  <c r="R39" i="1"/>
  <c r="R62" i="1"/>
  <c r="R6" i="1"/>
  <c r="R21" i="1"/>
  <c r="R36" i="1"/>
  <c r="R53" i="1"/>
  <c r="R10" i="1"/>
  <c r="L50" i="8"/>
  <c r="L75" i="8" s="1"/>
  <c r="M50" i="8"/>
  <c r="M75" i="8" s="1"/>
  <c r="N50" i="8"/>
  <c r="N75" i="8"/>
  <c r="I73" i="8"/>
  <c r="J73" i="8"/>
  <c r="K73" i="8"/>
  <c r="H73" i="8"/>
  <c r="R112" i="8"/>
  <c r="R111" i="8"/>
  <c r="K81" i="8"/>
  <c r="J81" i="8"/>
  <c r="I81" i="8"/>
  <c r="H81" i="8"/>
  <c r="K80" i="8"/>
  <c r="J80" i="8"/>
  <c r="I80" i="8"/>
  <c r="H80" i="8"/>
  <c r="O27" i="11"/>
  <c r="P27" i="11"/>
  <c r="P23" i="11"/>
  <c r="O23" i="11"/>
  <c r="O25" i="11"/>
  <c r="P25" i="11"/>
  <c r="K75" i="8"/>
  <c r="J75" i="8"/>
  <c r="I75" i="8"/>
  <c r="H75" i="8"/>
  <c r="AS27" i="11"/>
  <c r="AR27" i="11"/>
  <c r="AQ27" i="11"/>
  <c r="AR25" i="11"/>
  <c r="AS25" i="11"/>
  <c r="AQ25" i="11"/>
  <c r="AR23" i="11"/>
  <c r="AS23" i="11"/>
  <c r="AQ23" i="11"/>
  <c r="R83" i="1" l="1"/>
  <c r="R82" i="1"/>
  <c r="R71" i="1"/>
  <c r="R84" i="1"/>
  <c r="R81" i="1"/>
  <c r="R77" i="1"/>
  <c r="R72" i="1"/>
  <c r="R73" i="1"/>
  <c r="R78" i="1"/>
  <c r="R76" i="1"/>
  <c r="R74" i="1"/>
  <c r="R69" i="1"/>
  <c r="R67" i="1"/>
  <c r="R79" i="1"/>
  <c r="H83" i="8"/>
  <c r="I83" i="8"/>
  <c r="K83" i="8"/>
  <c r="J83" i="8"/>
  <c r="L7" i="11"/>
  <c r="L4" i="11"/>
  <c r="L5" i="11"/>
  <c r="L6" i="11"/>
  <c r="L8" i="11"/>
  <c r="L9" i="11"/>
  <c r="L10" i="11"/>
  <c r="L11" i="11"/>
  <c r="L12" i="11"/>
  <c r="L13" i="11"/>
  <c r="L14" i="11"/>
  <c r="L15" i="11"/>
  <c r="L16" i="11"/>
  <c r="L17" i="11"/>
  <c r="L18" i="11"/>
  <c r="AM23" i="11" l="1"/>
  <c r="AL23" i="11"/>
  <c r="AO3" i="11"/>
  <c r="AO4" i="11"/>
  <c r="AO5" i="11"/>
  <c r="AO6" i="11"/>
  <c r="AO8" i="11"/>
  <c r="AO9" i="11"/>
  <c r="AO10" i="11"/>
  <c r="AO11" i="11"/>
  <c r="AO12" i="11"/>
  <c r="AO13" i="11"/>
  <c r="AO14" i="11"/>
  <c r="AO15" i="11"/>
  <c r="AO16" i="11"/>
  <c r="AO17" i="11"/>
  <c r="AO18" i="11"/>
  <c r="AO2" i="11"/>
  <c r="AN18" i="11"/>
  <c r="AN3" i="11"/>
  <c r="AN4" i="11"/>
  <c r="AN5" i="11"/>
  <c r="AN6" i="11"/>
  <c r="AN8" i="11"/>
  <c r="AN9" i="11"/>
  <c r="AN10" i="11"/>
  <c r="AN11" i="11"/>
  <c r="AN12" i="11"/>
  <c r="AN13" i="11"/>
  <c r="AN14" i="11"/>
  <c r="AN15" i="11"/>
  <c r="AN16" i="11"/>
  <c r="AN17" i="11"/>
  <c r="AN2" i="11"/>
  <c r="AL25" i="11"/>
  <c r="AM25" i="11"/>
  <c r="AG25" i="11"/>
  <c r="AF25" i="11"/>
  <c r="AG21" i="11"/>
  <c r="AF21" i="11"/>
  <c r="AH4" i="11"/>
  <c r="AI4" i="11"/>
  <c r="AH5" i="11"/>
  <c r="AI5" i="11"/>
  <c r="AH6" i="11"/>
  <c r="AI6" i="11"/>
  <c r="AH8" i="11"/>
  <c r="AI8" i="11"/>
  <c r="AH9" i="11"/>
  <c r="AI9" i="11"/>
  <c r="AH10" i="11"/>
  <c r="AI10" i="11"/>
  <c r="AH11" i="11"/>
  <c r="AI11" i="11"/>
  <c r="AH12" i="11"/>
  <c r="AI12" i="11"/>
  <c r="AH13" i="11"/>
  <c r="AI13" i="11"/>
  <c r="AH14" i="11"/>
  <c r="AI14" i="11"/>
  <c r="AH15" i="11"/>
  <c r="AI15" i="11"/>
  <c r="AH16" i="11"/>
  <c r="AI16" i="11"/>
  <c r="AH17" i="11"/>
  <c r="AI17" i="11"/>
  <c r="AH18" i="11"/>
  <c r="AI18" i="11"/>
  <c r="R4" i="11"/>
  <c r="S4" i="11"/>
  <c r="T4" i="11"/>
  <c r="X4" i="11" s="1"/>
  <c r="AC4" i="11"/>
  <c r="R5" i="11"/>
  <c r="S5" i="11"/>
  <c r="V5" i="11" s="1"/>
  <c r="T5" i="11"/>
  <c r="X5" i="11" s="1"/>
  <c r="AC5" i="11"/>
  <c r="R6" i="11"/>
  <c r="S6" i="11"/>
  <c r="Z6" i="11" s="1"/>
  <c r="T6" i="11"/>
  <c r="X6" i="11" s="1"/>
  <c r="AC6" i="11"/>
  <c r="R8" i="11"/>
  <c r="S8" i="11"/>
  <c r="V8" i="11" s="1"/>
  <c r="T8" i="11"/>
  <c r="AA8" i="11" s="1"/>
  <c r="AC8" i="11"/>
  <c r="R9" i="11"/>
  <c r="S9" i="11"/>
  <c r="V9" i="11" s="1"/>
  <c r="T9" i="11"/>
  <c r="AA9" i="11" s="1"/>
  <c r="AC9" i="11"/>
  <c r="R10" i="11"/>
  <c r="S10" i="11"/>
  <c r="V10" i="11" s="1"/>
  <c r="T10" i="11"/>
  <c r="X10" i="11" s="1"/>
  <c r="AC10" i="11"/>
  <c r="R11" i="11"/>
  <c r="S11" i="11"/>
  <c r="T11" i="11"/>
  <c r="X11" i="11" s="1"/>
  <c r="AC11" i="11"/>
  <c r="R12" i="11"/>
  <c r="S12" i="11"/>
  <c r="V12" i="11" s="1"/>
  <c r="T12" i="11"/>
  <c r="X12" i="11" s="1"/>
  <c r="AC12" i="11"/>
  <c r="R13" i="11"/>
  <c r="S13" i="11"/>
  <c r="W13" i="11" s="1"/>
  <c r="T13" i="11"/>
  <c r="X13" i="11" s="1"/>
  <c r="AC13" i="11"/>
  <c r="R14" i="11"/>
  <c r="S14" i="11"/>
  <c r="W14" i="11" s="1"/>
  <c r="T14" i="11"/>
  <c r="AA14" i="11" s="1"/>
  <c r="AC14" i="11"/>
  <c r="R15" i="11"/>
  <c r="S15" i="11"/>
  <c r="W15" i="11" s="1"/>
  <c r="T15" i="11"/>
  <c r="AC15" i="11"/>
  <c r="R16" i="11"/>
  <c r="S16" i="11"/>
  <c r="V16" i="11" s="1"/>
  <c r="T16" i="11"/>
  <c r="X16" i="11" s="1"/>
  <c r="AC16" i="11"/>
  <c r="R17" i="11"/>
  <c r="S17" i="11"/>
  <c r="T17" i="11"/>
  <c r="X17" i="11" s="1"/>
  <c r="AC17" i="11"/>
  <c r="R18" i="11"/>
  <c r="S18" i="11"/>
  <c r="V18" i="11" s="1"/>
  <c r="T18" i="11"/>
  <c r="X18" i="11" s="1"/>
  <c r="AC18" i="11"/>
  <c r="AI3" i="11"/>
  <c r="AH3" i="11"/>
  <c r="AC3" i="11"/>
  <c r="T3" i="11"/>
  <c r="AA3" i="11" s="1"/>
  <c r="S3" i="11"/>
  <c r="Z3" i="11" s="1"/>
  <c r="R3" i="11"/>
  <c r="L3" i="11"/>
  <c r="AI2" i="11"/>
  <c r="AH2" i="11"/>
  <c r="AC2" i="11"/>
  <c r="T2" i="11"/>
  <c r="S2" i="11"/>
  <c r="R2" i="11"/>
  <c r="L2" i="11"/>
  <c r="AH76" i="1"/>
  <c r="AH77" i="1"/>
  <c r="AH78" i="1"/>
  <c r="AH79" i="1"/>
  <c r="AG79" i="1"/>
  <c r="AG78" i="1"/>
  <c r="AG77" i="1"/>
  <c r="AG76" i="1"/>
  <c r="AH74" i="1"/>
  <c r="AH73" i="1"/>
  <c r="AG73" i="1"/>
  <c r="AH72" i="1"/>
  <c r="AG72" i="1"/>
  <c r="AH71" i="1"/>
  <c r="AG71" i="1"/>
  <c r="AH69" i="1"/>
  <c r="AG69" i="1"/>
  <c r="M50" i="1"/>
  <c r="S50" i="1"/>
  <c r="T50" i="1"/>
  <c r="AA50" i="1" s="1"/>
  <c r="U50" i="1"/>
  <c r="AD50" i="1"/>
  <c r="AI50" i="1"/>
  <c r="AJ50" i="1"/>
  <c r="M51" i="1"/>
  <c r="S51" i="1"/>
  <c r="T51" i="1"/>
  <c r="X51" i="1" s="1"/>
  <c r="U51" i="1"/>
  <c r="Y51" i="1" s="1"/>
  <c r="AD51" i="1"/>
  <c r="AI51" i="1"/>
  <c r="AJ51" i="1"/>
  <c r="M52" i="1"/>
  <c r="S52" i="1"/>
  <c r="T52" i="1"/>
  <c r="W52" i="1" s="1"/>
  <c r="U52" i="1"/>
  <c r="Y52" i="1" s="1"/>
  <c r="AD52" i="1"/>
  <c r="AI52" i="1"/>
  <c r="AJ52" i="1"/>
  <c r="M53" i="1"/>
  <c r="S53" i="1"/>
  <c r="T53" i="1"/>
  <c r="W53" i="1" s="1"/>
  <c r="U53" i="1"/>
  <c r="AB53" i="1" s="1"/>
  <c r="AD53" i="1"/>
  <c r="AI53" i="1"/>
  <c r="AJ53" i="1"/>
  <c r="M54" i="1"/>
  <c r="S54" i="1"/>
  <c r="T54" i="1"/>
  <c r="AA54" i="1" s="1"/>
  <c r="U54" i="1"/>
  <c r="AB54" i="1" s="1"/>
  <c r="AD54" i="1"/>
  <c r="AI54" i="1"/>
  <c r="AJ54" i="1"/>
  <c r="M55" i="1"/>
  <c r="S55" i="1"/>
  <c r="T55" i="1"/>
  <c r="AA55" i="1" s="1"/>
  <c r="U55" i="1"/>
  <c r="Y55" i="1" s="1"/>
  <c r="AD55" i="1"/>
  <c r="AI55" i="1"/>
  <c r="AJ55" i="1"/>
  <c r="M56" i="1"/>
  <c r="S56" i="1"/>
  <c r="T56" i="1"/>
  <c r="W56" i="1" s="1"/>
  <c r="U56" i="1"/>
  <c r="Y56" i="1" s="1"/>
  <c r="AD56" i="1"/>
  <c r="AI56" i="1"/>
  <c r="AJ56" i="1"/>
  <c r="M57" i="1"/>
  <c r="S57" i="1"/>
  <c r="T57" i="1"/>
  <c r="X57" i="1" s="1"/>
  <c r="U57" i="1"/>
  <c r="AB57" i="1" s="1"/>
  <c r="AD57" i="1"/>
  <c r="AI57" i="1"/>
  <c r="AJ57" i="1"/>
  <c r="M58" i="1"/>
  <c r="S58" i="1"/>
  <c r="T58" i="1"/>
  <c r="W58" i="1" s="1"/>
  <c r="U58" i="1"/>
  <c r="AB58" i="1" s="1"/>
  <c r="AD58" i="1"/>
  <c r="AI58" i="1"/>
  <c r="AJ58" i="1"/>
  <c r="M59" i="1"/>
  <c r="S59" i="1"/>
  <c r="T59" i="1"/>
  <c r="X59" i="1" s="1"/>
  <c r="U59" i="1"/>
  <c r="AD59" i="1"/>
  <c r="AI59" i="1"/>
  <c r="AJ59" i="1"/>
  <c r="M60" i="1"/>
  <c r="S60" i="1"/>
  <c r="T60" i="1"/>
  <c r="W60" i="1" s="1"/>
  <c r="U60" i="1"/>
  <c r="Y60" i="1" s="1"/>
  <c r="AD60" i="1"/>
  <c r="AI60" i="1"/>
  <c r="AJ60" i="1"/>
  <c r="M61" i="1"/>
  <c r="S61" i="1"/>
  <c r="T61" i="1"/>
  <c r="AA61" i="1" s="1"/>
  <c r="U61" i="1"/>
  <c r="AB61" i="1" s="1"/>
  <c r="AD61" i="1"/>
  <c r="AI61" i="1"/>
  <c r="AJ61" i="1"/>
  <c r="M62" i="1"/>
  <c r="S62" i="1"/>
  <c r="T62" i="1"/>
  <c r="AA62" i="1" s="1"/>
  <c r="U62" i="1"/>
  <c r="AD62" i="1"/>
  <c r="AI62" i="1"/>
  <c r="AJ62" i="1"/>
  <c r="M63" i="1"/>
  <c r="S63" i="1"/>
  <c r="T63" i="1"/>
  <c r="X63" i="1" s="1"/>
  <c r="U63" i="1"/>
  <c r="Y63" i="1" s="1"/>
  <c r="AD63" i="1"/>
  <c r="AI63" i="1"/>
  <c r="AJ63" i="1"/>
  <c r="M64" i="1"/>
  <c r="S64" i="1"/>
  <c r="T64" i="1"/>
  <c r="W64" i="1" s="1"/>
  <c r="U64" i="1"/>
  <c r="Y64" i="1" s="1"/>
  <c r="AD64" i="1"/>
  <c r="AI64" i="1"/>
  <c r="AJ64" i="1"/>
  <c r="M18" i="1"/>
  <c r="S18" i="1"/>
  <c r="T18" i="1"/>
  <c r="U18" i="1"/>
  <c r="AB18" i="1" s="1"/>
  <c r="AD18" i="1"/>
  <c r="AI18" i="1"/>
  <c r="AJ18" i="1"/>
  <c r="M19" i="1"/>
  <c r="S19" i="1"/>
  <c r="T19" i="1"/>
  <c r="AA19" i="1" s="1"/>
  <c r="U19" i="1"/>
  <c r="Y19" i="1" s="1"/>
  <c r="AD19" i="1"/>
  <c r="AI19" i="1"/>
  <c r="AJ19" i="1"/>
  <c r="M20" i="1"/>
  <c r="S20" i="1"/>
  <c r="T20" i="1"/>
  <c r="W20" i="1" s="1"/>
  <c r="U20" i="1"/>
  <c r="AD20" i="1"/>
  <c r="AI20" i="1"/>
  <c r="AJ20" i="1"/>
  <c r="M21" i="1"/>
  <c r="S21" i="1"/>
  <c r="T21" i="1"/>
  <c r="X21" i="1" s="1"/>
  <c r="U21" i="1"/>
  <c r="Y21" i="1" s="1"/>
  <c r="AD21" i="1"/>
  <c r="AI21" i="1"/>
  <c r="AJ21" i="1"/>
  <c r="M22" i="1"/>
  <c r="S22" i="1"/>
  <c r="T22" i="1"/>
  <c r="W22" i="1" s="1"/>
  <c r="U22" i="1"/>
  <c r="Y22" i="1" s="1"/>
  <c r="AD22" i="1"/>
  <c r="AI22" i="1"/>
  <c r="AJ22" i="1"/>
  <c r="M23" i="1"/>
  <c r="S23" i="1"/>
  <c r="T23" i="1"/>
  <c r="W23" i="1" s="1"/>
  <c r="U23" i="1"/>
  <c r="AB23" i="1" s="1"/>
  <c r="AD23" i="1"/>
  <c r="AI23" i="1"/>
  <c r="AJ23" i="1"/>
  <c r="M24" i="1"/>
  <c r="S24" i="1"/>
  <c r="T24" i="1"/>
  <c r="AA24" i="1" s="1"/>
  <c r="U24" i="1"/>
  <c r="Y24" i="1" s="1"/>
  <c r="AD24" i="1"/>
  <c r="AI24" i="1"/>
  <c r="AJ24" i="1"/>
  <c r="M25" i="1"/>
  <c r="S25" i="1"/>
  <c r="T25" i="1"/>
  <c r="AA25" i="1" s="1"/>
  <c r="U25" i="1"/>
  <c r="AD25" i="1"/>
  <c r="AI25" i="1"/>
  <c r="AJ25" i="1"/>
  <c r="M26" i="1"/>
  <c r="S26" i="1"/>
  <c r="T26" i="1"/>
  <c r="AA26" i="1" s="1"/>
  <c r="U26" i="1"/>
  <c r="AD26" i="1"/>
  <c r="AI26" i="1"/>
  <c r="AJ26" i="1"/>
  <c r="M27" i="1"/>
  <c r="S27" i="1"/>
  <c r="T27" i="1"/>
  <c r="X27" i="1" s="1"/>
  <c r="U27" i="1"/>
  <c r="Y27" i="1" s="1"/>
  <c r="AD27" i="1"/>
  <c r="AI27" i="1"/>
  <c r="AJ27" i="1"/>
  <c r="M28" i="1"/>
  <c r="S28" i="1"/>
  <c r="T28" i="1"/>
  <c r="W28" i="1" s="1"/>
  <c r="U28" i="1"/>
  <c r="AB28" i="1" s="1"/>
  <c r="AD28" i="1"/>
  <c r="AI28" i="1"/>
  <c r="AJ28" i="1"/>
  <c r="M29" i="1"/>
  <c r="S29" i="1"/>
  <c r="T29" i="1"/>
  <c r="W29" i="1" s="1"/>
  <c r="U29" i="1"/>
  <c r="AD29" i="1"/>
  <c r="AI29" i="1"/>
  <c r="AJ29" i="1"/>
  <c r="M30" i="1"/>
  <c r="S30" i="1"/>
  <c r="T30" i="1"/>
  <c r="U30" i="1"/>
  <c r="AB30" i="1" s="1"/>
  <c r="AD30" i="1"/>
  <c r="AI30" i="1"/>
  <c r="AJ30" i="1"/>
  <c r="M31" i="1"/>
  <c r="S31" i="1"/>
  <c r="T31" i="1"/>
  <c r="W31" i="1" s="1"/>
  <c r="U31" i="1"/>
  <c r="Y31" i="1" s="1"/>
  <c r="AD31" i="1"/>
  <c r="AI31" i="1"/>
  <c r="AJ31" i="1"/>
  <c r="M32" i="1"/>
  <c r="S32" i="1"/>
  <c r="T32" i="1"/>
  <c r="AA32" i="1" s="1"/>
  <c r="U32" i="1"/>
  <c r="AD32" i="1"/>
  <c r="AI32" i="1"/>
  <c r="AJ32" i="1"/>
  <c r="M33" i="1"/>
  <c r="S33" i="1"/>
  <c r="T33" i="1"/>
  <c r="X33" i="1" s="1"/>
  <c r="U33" i="1"/>
  <c r="Y33" i="1" s="1"/>
  <c r="AD33" i="1"/>
  <c r="AI33" i="1"/>
  <c r="AJ33" i="1"/>
  <c r="AJ2" i="1"/>
  <c r="AJ3" i="1"/>
  <c r="AJ34" i="1"/>
  <c r="AJ35" i="1"/>
  <c r="AJ4" i="1"/>
  <c r="AJ5" i="1"/>
  <c r="AJ6" i="1"/>
  <c r="AJ36" i="1"/>
  <c r="AJ7" i="1"/>
  <c r="AJ37" i="1"/>
  <c r="AJ8" i="1"/>
  <c r="AJ9" i="1"/>
  <c r="AJ38" i="1"/>
  <c r="AJ39" i="1"/>
  <c r="AJ10" i="1"/>
  <c r="AJ11" i="1"/>
  <c r="AJ40" i="1"/>
  <c r="AJ41" i="1"/>
  <c r="AJ12" i="1"/>
  <c r="AJ42" i="1"/>
  <c r="AJ43" i="1"/>
  <c r="AJ44" i="1"/>
  <c r="AJ13" i="1"/>
  <c r="AJ14" i="1"/>
  <c r="AJ15" i="1"/>
  <c r="AJ45" i="1"/>
  <c r="AJ16" i="1"/>
  <c r="AJ46" i="1"/>
  <c r="AJ47" i="1"/>
  <c r="AJ48" i="1"/>
  <c r="AJ17" i="1"/>
  <c r="AJ49" i="1"/>
  <c r="AI44" i="1"/>
  <c r="AI15" i="1"/>
  <c r="AI35" i="1"/>
  <c r="AI8" i="1"/>
  <c r="AI41" i="1"/>
  <c r="AI11" i="1"/>
  <c r="AI45" i="1"/>
  <c r="AI16" i="1"/>
  <c r="AI48" i="1"/>
  <c r="AI3" i="1"/>
  <c r="AI43" i="1"/>
  <c r="AI13" i="1"/>
  <c r="AI47" i="1"/>
  <c r="AI2" i="1"/>
  <c r="AI34" i="1"/>
  <c r="AI9" i="1"/>
  <c r="AI40" i="1"/>
  <c r="AI17" i="1"/>
  <c r="AI49" i="1"/>
  <c r="AI12" i="1"/>
  <c r="AI46" i="1"/>
  <c r="AI5" i="1"/>
  <c r="AI38" i="1"/>
  <c r="AI7" i="1"/>
  <c r="AI42" i="1"/>
  <c r="AI4" i="1"/>
  <c r="AI37" i="1"/>
  <c r="AI14" i="1"/>
  <c r="AI39" i="1"/>
  <c r="AI6" i="1"/>
  <c r="AI36" i="1"/>
  <c r="AI10" i="1"/>
  <c r="AH67" i="1"/>
  <c r="AG67" i="1"/>
  <c r="W33" i="1" l="1"/>
  <c r="AI27" i="11"/>
  <c r="Z2" i="11"/>
  <c r="S26" i="11" a="1"/>
  <c r="S26" i="11" s="1"/>
  <c r="S27" i="11"/>
  <c r="S23" i="11"/>
  <c r="S25" i="11"/>
  <c r="R26" i="11" a="1"/>
  <c r="R26" i="11" s="1"/>
  <c r="AA2" i="11"/>
  <c r="T26" i="11" a="1"/>
  <c r="T26" i="11" s="1"/>
  <c r="T27" i="11"/>
  <c r="T23" i="11"/>
  <c r="T25" i="11"/>
  <c r="AH27" i="11"/>
  <c r="R25" i="11"/>
  <c r="R27" i="11"/>
  <c r="R23" i="11"/>
  <c r="AI79" i="1"/>
  <c r="AI74" i="1"/>
  <c r="Z18" i="11"/>
  <c r="AA17" i="11"/>
  <c r="X8" i="11"/>
  <c r="U4" i="11"/>
  <c r="AA11" i="11"/>
  <c r="U9" i="11"/>
  <c r="U15" i="11"/>
  <c r="Z12" i="11"/>
  <c r="AA10" i="11"/>
  <c r="W12" i="11"/>
  <c r="U10" i="11"/>
  <c r="U12" i="11"/>
  <c r="AN25" i="11"/>
  <c r="AO25" i="11"/>
  <c r="AN23" i="11"/>
  <c r="AA15" i="11"/>
  <c r="V13" i="11"/>
  <c r="X15" i="11"/>
  <c r="X14" i="11"/>
  <c r="AA16" i="11"/>
  <c r="U14" i="11"/>
  <c r="V6" i="11"/>
  <c r="AJ69" i="1"/>
  <c r="AJ77" i="1"/>
  <c r="AI72" i="1"/>
  <c r="V26" i="1"/>
  <c r="AJ72" i="1"/>
  <c r="AI69" i="1"/>
  <c r="AJ79" i="1"/>
  <c r="V59" i="1"/>
  <c r="AI73" i="1"/>
  <c r="X62" i="1"/>
  <c r="AJ78" i="1"/>
  <c r="V29" i="1"/>
  <c r="AI78" i="1"/>
  <c r="AI71" i="1"/>
  <c r="AJ71" i="1"/>
  <c r="AJ74" i="1"/>
  <c r="AI77" i="1"/>
  <c r="V25" i="1"/>
  <c r="V62" i="1"/>
  <c r="AJ76" i="1"/>
  <c r="AB33" i="1"/>
  <c r="AI76" i="1"/>
  <c r="V21" i="1"/>
  <c r="AJ73" i="1"/>
  <c r="AI21" i="11"/>
  <c r="V14" i="11"/>
  <c r="Z8" i="11"/>
  <c r="AH25" i="11"/>
  <c r="W8" i="11"/>
  <c r="Z5" i="11"/>
  <c r="U17" i="11"/>
  <c r="Z13" i="11"/>
  <c r="U8" i="11"/>
  <c r="W5" i="11"/>
  <c r="U5" i="11"/>
  <c r="W18" i="11"/>
  <c r="Z14" i="11"/>
  <c r="X9" i="11"/>
  <c r="U18" i="11"/>
  <c r="U16" i="11"/>
  <c r="AI25" i="11"/>
  <c r="U11" i="11"/>
  <c r="W6" i="11"/>
  <c r="AH21" i="11"/>
  <c r="Z15" i="11"/>
  <c r="U13" i="11"/>
  <c r="Z9" i="11"/>
  <c r="U6" i="11"/>
  <c r="Z16" i="11"/>
  <c r="W9" i="11"/>
  <c r="V15" i="11"/>
  <c r="AA4" i="11"/>
  <c r="Z17" i="11"/>
  <c r="W16" i="11"/>
  <c r="Z11" i="11"/>
  <c r="W10" i="11"/>
  <c r="Z4" i="11"/>
  <c r="Z10" i="11"/>
  <c r="AA18" i="11"/>
  <c r="AA12" i="11"/>
  <c r="AA5" i="11"/>
  <c r="W17" i="11"/>
  <c r="W11" i="11"/>
  <c r="W4" i="11"/>
  <c r="V17" i="11"/>
  <c r="AA13" i="11"/>
  <c r="V11" i="11"/>
  <c r="AA6" i="11"/>
  <c r="V4" i="11"/>
  <c r="W2" i="11"/>
  <c r="U2" i="11"/>
  <c r="V3" i="11"/>
  <c r="W3" i="11"/>
  <c r="X2" i="11"/>
  <c r="V2" i="11"/>
  <c r="U3" i="11"/>
  <c r="X3" i="11"/>
  <c r="W27" i="1"/>
  <c r="V32" i="1"/>
  <c r="V27" i="1"/>
  <c r="X61" i="1"/>
  <c r="AA57" i="1"/>
  <c r="X26" i="1"/>
  <c r="W21" i="1"/>
  <c r="W32" i="1"/>
  <c r="W59" i="1"/>
  <c r="V33" i="1"/>
  <c r="X22" i="1"/>
  <c r="AB19" i="1"/>
  <c r="V60" i="1"/>
  <c r="W57" i="1"/>
  <c r="W61" i="1"/>
  <c r="X31" i="1"/>
  <c r="AA58" i="1"/>
  <c r="AB55" i="1"/>
  <c r="AA23" i="1"/>
  <c r="AA59" i="1"/>
  <c r="X25" i="1"/>
  <c r="AB60" i="1"/>
  <c r="AB26" i="1"/>
  <c r="W25" i="1"/>
  <c r="AA22" i="1"/>
  <c r="V51" i="1"/>
  <c r="W26" i="1"/>
  <c r="Y54" i="1"/>
  <c r="V23" i="1"/>
  <c r="V30" i="1"/>
  <c r="Y25" i="1"/>
  <c r="AB59" i="1"/>
  <c r="X55" i="1"/>
  <c r="AA27" i="1"/>
  <c r="AB25" i="1"/>
  <c r="AB24" i="1"/>
  <c r="Y58" i="1"/>
  <c r="Y57" i="1"/>
  <c r="X56" i="1"/>
  <c r="W55" i="1"/>
  <c r="V52" i="1"/>
  <c r="AA56" i="1"/>
  <c r="Y30" i="1"/>
  <c r="Y26" i="1"/>
  <c r="Y61" i="1"/>
  <c r="AA60" i="1"/>
  <c r="X58" i="1"/>
  <c r="V55" i="1"/>
  <c r="Y18" i="1"/>
  <c r="V58" i="1"/>
  <c r="V57" i="1"/>
  <c r="V28" i="1"/>
  <c r="V24" i="1"/>
  <c r="V18" i="1"/>
  <c r="W62" i="1"/>
  <c r="V61" i="1"/>
  <c r="AA20" i="1"/>
  <c r="X19" i="1"/>
  <c r="X50" i="1"/>
  <c r="V31" i="1"/>
  <c r="AB21" i="1"/>
  <c r="X20" i="1"/>
  <c r="W19" i="1"/>
  <c r="W63" i="1"/>
  <c r="W50" i="1"/>
  <c r="X32" i="1"/>
  <c r="AB22" i="1"/>
  <c r="V19" i="1"/>
  <c r="V63" i="1"/>
  <c r="V50" i="1"/>
  <c r="V20" i="1"/>
  <c r="W51" i="1"/>
  <c r="V22" i="1"/>
  <c r="V64" i="1"/>
  <c r="AB56" i="1"/>
  <c r="AA53" i="1"/>
  <c r="AB52" i="1"/>
  <c r="AA64" i="1"/>
  <c r="AB63" i="1"/>
  <c r="V56" i="1"/>
  <c r="X54" i="1"/>
  <c r="Y53" i="1"/>
  <c r="AA52" i="1"/>
  <c r="AB51" i="1"/>
  <c r="AB64" i="1"/>
  <c r="AA63" i="1"/>
  <c r="W54" i="1"/>
  <c r="X53" i="1"/>
  <c r="AA51" i="1"/>
  <c r="X64" i="1"/>
  <c r="V54" i="1"/>
  <c r="X52" i="1"/>
  <c r="AB62" i="1"/>
  <c r="AB50" i="1"/>
  <c r="Y62" i="1"/>
  <c r="V53" i="1"/>
  <c r="Y50" i="1"/>
  <c r="X60" i="1"/>
  <c r="Y59" i="1"/>
  <c r="X24" i="1"/>
  <c r="Y23" i="1"/>
  <c r="AA33" i="1"/>
  <c r="AB32" i="1"/>
  <c r="W24" i="1"/>
  <c r="X23" i="1"/>
  <c r="AA21" i="1"/>
  <c r="AB20" i="1"/>
  <c r="AB31" i="1"/>
  <c r="Y32" i="1"/>
  <c r="AA31" i="1"/>
  <c r="Y20" i="1"/>
  <c r="AA30" i="1"/>
  <c r="AA18" i="1"/>
  <c r="X30" i="1"/>
  <c r="Y29" i="1"/>
  <c r="AA28" i="1"/>
  <c r="AB27" i="1"/>
  <c r="X18" i="1"/>
  <c r="AA29" i="1"/>
  <c r="W30" i="1"/>
  <c r="X29" i="1"/>
  <c r="Y28" i="1"/>
  <c r="W18" i="1"/>
  <c r="AB29" i="1"/>
  <c r="X28" i="1"/>
  <c r="AJ67" i="1"/>
  <c r="AI67" i="1"/>
  <c r="U26" i="11" l="1" a="1"/>
  <c r="U26" i="11" s="1"/>
  <c r="V25" i="11"/>
  <c r="V27" i="11"/>
  <c r="V23" i="11"/>
  <c r="U25" i="11"/>
  <c r="U27" i="11"/>
  <c r="U23" i="11"/>
  <c r="L12" i="9"/>
  <c r="L13" i="9"/>
  <c r="L14" i="9"/>
  <c r="L11" i="9"/>
  <c r="J12" i="9"/>
  <c r="J13" i="9"/>
  <c r="J14" i="9"/>
  <c r="J11" i="9"/>
  <c r="U49" i="1"/>
  <c r="U48" i="1"/>
  <c r="U17" i="1"/>
  <c r="U47" i="1"/>
  <c r="U15" i="1"/>
  <c r="U45" i="1"/>
  <c r="U16" i="1"/>
  <c r="U46" i="1"/>
  <c r="U44" i="1"/>
  <c r="U13" i="1"/>
  <c r="U14" i="1"/>
  <c r="U43" i="1"/>
  <c r="U41" i="1"/>
  <c r="U12" i="1"/>
  <c r="U42" i="1"/>
  <c r="U11" i="1"/>
  <c r="U40" i="1"/>
  <c r="U10" i="1"/>
  <c r="U8" i="1"/>
  <c r="U9" i="1"/>
  <c r="U38" i="1"/>
  <c r="U39" i="1"/>
  <c r="U7" i="1"/>
  <c r="U37" i="1"/>
  <c r="U6" i="1"/>
  <c r="U36" i="1"/>
  <c r="U5" i="1"/>
  <c r="U35" i="1"/>
  <c r="U4" i="1"/>
  <c r="U3" i="1"/>
  <c r="U34" i="1"/>
  <c r="U2" i="1"/>
  <c r="T49" i="1"/>
  <c r="W49" i="1" s="1"/>
  <c r="T48" i="1"/>
  <c r="W48" i="1" s="1"/>
  <c r="T17" i="1"/>
  <c r="W17" i="1" s="1"/>
  <c r="T47" i="1"/>
  <c r="W47" i="1" s="1"/>
  <c r="T15" i="1"/>
  <c r="W15" i="1" s="1"/>
  <c r="T45" i="1"/>
  <c r="W45" i="1" s="1"/>
  <c r="T16" i="1"/>
  <c r="W16" i="1" s="1"/>
  <c r="T46" i="1"/>
  <c r="W46" i="1" s="1"/>
  <c r="T44" i="1"/>
  <c r="W44" i="1" s="1"/>
  <c r="T13" i="1"/>
  <c r="W13" i="1" s="1"/>
  <c r="T14" i="1"/>
  <c r="W14" i="1" s="1"/>
  <c r="T43" i="1"/>
  <c r="W43" i="1" s="1"/>
  <c r="T41" i="1"/>
  <c r="W41" i="1" s="1"/>
  <c r="T12" i="1"/>
  <c r="W12" i="1" s="1"/>
  <c r="T42" i="1"/>
  <c r="W42" i="1" s="1"/>
  <c r="T11" i="1"/>
  <c r="W11" i="1" s="1"/>
  <c r="T40" i="1"/>
  <c r="W40" i="1" s="1"/>
  <c r="T10" i="1"/>
  <c r="W10" i="1" s="1"/>
  <c r="T8" i="1"/>
  <c r="W8" i="1" s="1"/>
  <c r="T9" i="1"/>
  <c r="W9" i="1" s="1"/>
  <c r="T38" i="1"/>
  <c r="W38" i="1" s="1"/>
  <c r="T39" i="1"/>
  <c r="W39" i="1" s="1"/>
  <c r="T7" i="1"/>
  <c r="W7" i="1" s="1"/>
  <c r="T37" i="1"/>
  <c r="W37" i="1" s="1"/>
  <c r="T6" i="1"/>
  <c r="W6" i="1" s="1"/>
  <c r="T36" i="1"/>
  <c r="W36" i="1" s="1"/>
  <c r="T5" i="1"/>
  <c r="W5" i="1" s="1"/>
  <c r="T35" i="1"/>
  <c r="W35" i="1" s="1"/>
  <c r="T4" i="1"/>
  <c r="W4" i="1" s="1"/>
  <c r="T3" i="1"/>
  <c r="W3" i="1" s="1"/>
  <c r="T34" i="1"/>
  <c r="W34" i="1" s="1"/>
  <c r="T2" i="1"/>
  <c r="W2" i="1" s="1"/>
  <c r="H12" i="9"/>
  <c r="H13" i="9"/>
  <c r="H14" i="9"/>
  <c r="H11" i="9"/>
  <c r="S49" i="1"/>
  <c r="S48" i="1"/>
  <c r="S17" i="1"/>
  <c r="S47" i="1"/>
  <c r="S15" i="1"/>
  <c r="S45" i="1"/>
  <c r="S16" i="1"/>
  <c r="S46" i="1"/>
  <c r="S44" i="1"/>
  <c r="S13" i="1"/>
  <c r="S14" i="1"/>
  <c r="S43" i="1"/>
  <c r="S41" i="1"/>
  <c r="S12" i="1"/>
  <c r="S42" i="1"/>
  <c r="S11" i="1"/>
  <c r="S40" i="1"/>
  <c r="S10" i="1"/>
  <c r="S8" i="1"/>
  <c r="S9" i="1"/>
  <c r="S38" i="1"/>
  <c r="S39" i="1"/>
  <c r="S7" i="1"/>
  <c r="S37" i="1"/>
  <c r="S6" i="1"/>
  <c r="S36" i="1"/>
  <c r="S5" i="1"/>
  <c r="S35" i="1"/>
  <c r="S4" i="1"/>
  <c r="S3" i="1"/>
  <c r="S34" i="1"/>
  <c r="S2" i="1"/>
  <c r="D9" i="9" a="1"/>
  <c r="D9" i="9" s="1"/>
  <c r="N10" i="8"/>
  <c r="N8" i="8"/>
  <c r="N9" i="8"/>
  <c r="N39" i="8"/>
  <c r="N38" i="8"/>
  <c r="N7" i="8"/>
  <c r="N37" i="8"/>
  <c r="N18" i="8"/>
  <c r="N6" i="8"/>
  <c r="N36" i="8"/>
  <c r="N5" i="8"/>
  <c r="N35" i="8"/>
  <c r="N4" i="8"/>
  <c r="N64" i="8"/>
  <c r="N3" i="8"/>
  <c r="N34" i="8"/>
  <c r="N2" i="8"/>
  <c r="N63" i="8"/>
  <c r="N60" i="8"/>
  <c r="N62" i="8"/>
  <c r="N61" i="8"/>
  <c r="N59" i="8"/>
  <c r="N58" i="8"/>
  <c r="N57" i="8"/>
  <c r="N56" i="8"/>
  <c r="N55" i="8"/>
  <c r="N54" i="8"/>
  <c r="N53" i="8"/>
  <c r="N52" i="8"/>
  <c r="N51" i="8"/>
  <c r="N32" i="8"/>
  <c r="N49" i="8"/>
  <c r="N31" i="8"/>
  <c r="N30" i="8"/>
  <c r="N29" i="8"/>
  <c r="N28" i="8"/>
  <c r="N48" i="8"/>
  <c r="N17" i="8"/>
  <c r="N47" i="8"/>
  <c r="N27" i="8"/>
  <c r="N26" i="8"/>
  <c r="N15" i="8"/>
  <c r="N45" i="8"/>
  <c r="N16" i="8"/>
  <c r="N25" i="8"/>
  <c r="N46" i="8"/>
  <c r="N24" i="8"/>
  <c r="N23" i="8"/>
  <c r="N22" i="8"/>
  <c r="N44" i="8"/>
  <c r="N14" i="8"/>
  <c r="N13" i="8"/>
  <c r="N21" i="8"/>
  <c r="N43" i="8"/>
  <c r="N20" i="8"/>
  <c r="N41" i="8"/>
  <c r="N12" i="8"/>
  <c r="N42" i="8"/>
  <c r="N19" i="8"/>
  <c r="N11" i="8"/>
  <c r="N40" i="8"/>
  <c r="N33" i="8"/>
  <c r="F9" i="9" l="1"/>
  <c r="E9" i="9"/>
  <c r="L32" i="8" l="1"/>
  <c r="M32" i="8"/>
  <c r="L49" i="8"/>
  <c r="M49" i="8"/>
  <c r="L31" i="8"/>
  <c r="M31" i="8"/>
  <c r="L30" i="8"/>
  <c r="M30" i="8"/>
  <c r="L29" i="8"/>
  <c r="M29" i="8"/>
  <c r="L28" i="8"/>
  <c r="M28" i="8"/>
  <c r="L48" i="8"/>
  <c r="M48" i="8"/>
  <c r="L17" i="8"/>
  <c r="M17" i="8"/>
  <c r="L47" i="8"/>
  <c r="M47" i="8"/>
  <c r="L27" i="8"/>
  <c r="M27" i="8"/>
  <c r="L26" i="8"/>
  <c r="M26" i="8"/>
  <c r="L15" i="8"/>
  <c r="M15" i="8"/>
  <c r="L45" i="8"/>
  <c r="M45" i="8"/>
  <c r="L16" i="8"/>
  <c r="M16" i="8"/>
  <c r="L25" i="8"/>
  <c r="M25" i="8"/>
  <c r="L46" i="8"/>
  <c r="M46" i="8"/>
  <c r="L24" i="8"/>
  <c r="M24" i="8"/>
  <c r="L23" i="8"/>
  <c r="M23" i="8"/>
  <c r="L22" i="8"/>
  <c r="M22" i="8"/>
  <c r="L44" i="8"/>
  <c r="M44" i="8"/>
  <c r="L14" i="8"/>
  <c r="M14" i="8"/>
  <c r="L13" i="8"/>
  <c r="M13" i="8"/>
  <c r="L21" i="8"/>
  <c r="M21" i="8"/>
  <c r="L43" i="8"/>
  <c r="M43" i="8"/>
  <c r="L20" i="8"/>
  <c r="M20" i="8"/>
  <c r="L41" i="8"/>
  <c r="M41" i="8"/>
  <c r="L12" i="8"/>
  <c r="M12" i="8"/>
  <c r="L42" i="8"/>
  <c r="M42" i="8"/>
  <c r="L19" i="8"/>
  <c r="M19" i="8"/>
  <c r="L11" i="8"/>
  <c r="M11" i="8"/>
  <c r="L40" i="8"/>
  <c r="M40" i="8"/>
  <c r="L10" i="8"/>
  <c r="M10" i="8"/>
  <c r="L8" i="8"/>
  <c r="M8" i="8"/>
  <c r="L9" i="8"/>
  <c r="M9" i="8"/>
  <c r="L39" i="8"/>
  <c r="M39" i="8"/>
  <c r="L38" i="8"/>
  <c r="M38" i="8"/>
  <c r="L7" i="8"/>
  <c r="M7" i="8"/>
  <c r="L37" i="8"/>
  <c r="M37" i="8"/>
  <c r="L18" i="8"/>
  <c r="M18" i="8"/>
  <c r="L6" i="8"/>
  <c r="M6" i="8"/>
  <c r="L36" i="8"/>
  <c r="M36" i="8"/>
  <c r="L5" i="8"/>
  <c r="M5" i="8"/>
  <c r="L35" i="8"/>
  <c r="M35" i="8"/>
  <c r="L4" i="8"/>
  <c r="M4" i="8"/>
  <c r="L64" i="8"/>
  <c r="M64" i="8"/>
  <c r="L3" i="8"/>
  <c r="M3" i="8"/>
  <c r="L34" i="8"/>
  <c r="M34" i="8"/>
  <c r="L2" i="8"/>
  <c r="M2" i="8"/>
  <c r="L63" i="8"/>
  <c r="M63" i="8"/>
  <c r="L60" i="8"/>
  <c r="M60" i="8"/>
  <c r="L62" i="8"/>
  <c r="M62" i="8"/>
  <c r="L61" i="8"/>
  <c r="M61" i="8"/>
  <c r="L59" i="8"/>
  <c r="M59" i="8"/>
  <c r="L58" i="8"/>
  <c r="M58" i="8"/>
  <c r="L57" i="8"/>
  <c r="M57" i="8"/>
  <c r="L56" i="8"/>
  <c r="M56" i="8"/>
  <c r="L55" i="8"/>
  <c r="M55" i="8"/>
  <c r="L54" i="8"/>
  <c r="M54" i="8"/>
  <c r="L53" i="8"/>
  <c r="M53" i="8"/>
  <c r="L52" i="8"/>
  <c r="M52" i="8"/>
  <c r="L51" i="8"/>
  <c r="M51" i="8"/>
  <c r="M33" i="8"/>
  <c r="L33" i="8"/>
  <c r="H67" i="4" l="1"/>
  <c r="C67" i="4"/>
  <c r="C68" i="4" s="1" a="1"/>
  <c r="AO57" i="4"/>
  <c r="AP57" i="4"/>
  <c r="AO58" i="4"/>
  <c r="AP58" i="4"/>
  <c r="AO59" i="4"/>
  <c r="AP59" i="4"/>
  <c r="AO60" i="4"/>
  <c r="AP60" i="4"/>
  <c r="AO61" i="4"/>
  <c r="AP61" i="4"/>
  <c r="AO62" i="4"/>
  <c r="AP62" i="4"/>
  <c r="AP120" i="4" s="1" a="1"/>
  <c r="AP120" i="4" s="1"/>
  <c r="AO63" i="4"/>
  <c r="AP63" i="4"/>
  <c r="AO64" i="4"/>
  <c r="AP64" i="4"/>
  <c r="AO65" i="4"/>
  <c r="AP65" i="4"/>
  <c r="AO66" i="4"/>
  <c r="AP66" i="4"/>
  <c r="AO67" i="4"/>
  <c r="AP67" i="4"/>
  <c r="AO68" i="4"/>
  <c r="AP68" i="4"/>
  <c r="AO69" i="4"/>
  <c r="AP69" i="4"/>
  <c r="AO70" i="4"/>
  <c r="AP70" i="4"/>
  <c r="AO71" i="4"/>
  <c r="AP71" i="4"/>
  <c r="AO72" i="4"/>
  <c r="AP72" i="4"/>
  <c r="AO73" i="4"/>
  <c r="AP73" i="4"/>
  <c r="AO74" i="4"/>
  <c r="AP74" i="4"/>
  <c r="AO75" i="4"/>
  <c r="AP75" i="4"/>
  <c r="AO76" i="4"/>
  <c r="AP76" i="4"/>
  <c r="AO77" i="4"/>
  <c r="AP77" i="4"/>
  <c r="AO78" i="4"/>
  <c r="AP78" i="4"/>
  <c r="AO79" i="4"/>
  <c r="AP79" i="4"/>
  <c r="AO80" i="4"/>
  <c r="AP80" i="4"/>
  <c r="AO81" i="4"/>
  <c r="AP81" i="4"/>
  <c r="AO82" i="4"/>
  <c r="AP82" i="4"/>
  <c r="AO83" i="4"/>
  <c r="AP83" i="4"/>
  <c r="AO84" i="4"/>
  <c r="AP84" i="4"/>
  <c r="AO85" i="4"/>
  <c r="AP85" i="4"/>
  <c r="AO86" i="4"/>
  <c r="AP86" i="4"/>
  <c r="AO87" i="4"/>
  <c r="AP87" i="4"/>
  <c r="AO88" i="4"/>
  <c r="AP88" i="4"/>
  <c r="AO89" i="4"/>
  <c r="AP89" i="4"/>
  <c r="AO90" i="4"/>
  <c r="AP90" i="4"/>
  <c r="AO91" i="4"/>
  <c r="AP91" i="4"/>
  <c r="AO92" i="4"/>
  <c r="AP92" i="4"/>
  <c r="AO93" i="4"/>
  <c r="AP93" i="4"/>
  <c r="AO94" i="4"/>
  <c r="AP94" i="4"/>
  <c r="AO95" i="4"/>
  <c r="AP95" i="4"/>
  <c r="AO96" i="4"/>
  <c r="AP96" i="4"/>
  <c r="AO97" i="4"/>
  <c r="AP97" i="4"/>
  <c r="AO98" i="4"/>
  <c r="AP98" i="4"/>
  <c r="AO99" i="4"/>
  <c r="AP99" i="4"/>
  <c r="AO100" i="4"/>
  <c r="AP100" i="4"/>
  <c r="AO101" i="4"/>
  <c r="AP101" i="4"/>
  <c r="AO102" i="4"/>
  <c r="AP102" i="4"/>
  <c r="AO103" i="4"/>
  <c r="AP103" i="4"/>
  <c r="AO104" i="4"/>
  <c r="AP104" i="4"/>
  <c r="AO105" i="4"/>
  <c r="AP105" i="4"/>
  <c r="AO106" i="4"/>
  <c r="AP106" i="4"/>
  <c r="AO107" i="4"/>
  <c r="AP107" i="4"/>
  <c r="AO108" i="4"/>
  <c r="AP108" i="4"/>
  <c r="AO109" i="4"/>
  <c r="AP109" i="4"/>
  <c r="AO110" i="4"/>
  <c r="AP110" i="4"/>
  <c r="AO111" i="4"/>
  <c r="AP111" i="4"/>
  <c r="AO112" i="4"/>
  <c r="AP112" i="4"/>
  <c r="AO113" i="4"/>
  <c r="AP113" i="4"/>
  <c r="AO114" i="4"/>
  <c r="AP114" i="4"/>
  <c r="AO115" i="4"/>
  <c r="AP115" i="4"/>
  <c r="AO116" i="4"/>
  <c r="AP116" i="4"/>
  <c r="AO117" i="4"/>
  <c r="AP117" i="4"/>
  <c r="AO118" i="4"/>
  <c r="AP118" i="4"/>
  <c r="AP56" i="4"/>
  <c r="AP122" i="4" s="1"/>
  <c r="AP123" i="4" s="1" a="1"/>
  <c r="AP123" i="4" s="1"/>
  <c r="AO56" i="4"/>
  <c r="M64" i="4"/>
  <c r="N64" i="4"/>
  <c r="O64" i="4"/>
  <c r="M36" i="4"/>
  <c r="M16" i="4"/>
  <c r="M33" i="4"/>
  <c r="M58" i="4"/>
  <c r="N36" i="4"/>
  <c r="N16" i="4"/>
  <c r="N33" i="4"/>
  <c r="N58" i="4"/>
  <c r="O36" i="4"/>
  <c r="O16" i="4"/>
  <c r="O33" i="4"/>
  <c r="O58" i="4"/>
  <c r="C68" i="4" l="1"/>
  <c r="H29" i="6"/>
  <c r="H50" i="6"/>
  <c r="H34" i="6"/>
  <c r="H9" i="6"/>
  <c r="I29" i="6"/>
  <c r="I50" i="6"/>
  <c r="I34" i="6"/>
  <c r="I9" i="6"/>
  <c r="J29" i="6"/>
  <c r="J50" i="6"/>
  <c r="J34" i="6"/>
  <c r="J9" i="6"/>
  <c r="M9" i="1"/>
  <c r="M40" i="1"/>
  <c r="AD9" i="1"/>
  <c r="AD40" i="1"/>
  <c r="AB40" i="1" l="1"/>
  <c r="V40" i="1"/>
  <c r="AB9" i="1"/>
  <c r="V9" i="1"/>
  <c r="X40" i="1"/>
  <c r="AA9" i="1"/>
  <c r="Y40" i="1"/>
  <c r="Y9" i="1"/>
  <c r="AA40" i="1"/>
  <c r="X9" i="1"/>
  <c r="N12" i="6" l="1"/>
  <c r="O13" i="6"/>
  <c r="O12" i="6"/>
  <c r="O6" i="6" l="1"/>
  <c r="O5" i="6"/>
  <c r="N5" i="6"/>
  <c r="I32" i="6"/>
  <c r="J32" i="6"/>
  <c r="I57" i="6"/>
  <c r="J57" i="6"/>
  <c r="I44" i="6"/>
  <c r="J44" i="6"/>
  <c r="I11" i="6"/>
  <c r="J11" i="6"/>
  <c r="I48" i="6"/>
  <c r="J48" i="6"/>
  <c r="I53" i="6"/>
  <c r="J53" i="6"/>
  <c r="I21" i="6"/>
  <c r="J21" i="6"/>
  <c r="I28" i="6"/>
  <c r="J28" i="6"/>
  <c r="I58" i="6"/>
  <c r="J58" i="6"/>
  <c r="I37" i="6"/>
  <c r="J37" i="6"/>
  <c r="I3" i="6"/>
  <c r="J3" i="6"/>
  <c r="I33" i="6"/>
  <c r="J33" i="6"/>
  <c r="I60" i="6"/>
  <c r="J60" i="6"/>
  <c r="I51" i="6"/>
  <c r="J51" i="6"/>
  <c r="I19" i="6"/>
  <c r="J19" i="6"/>
  <c r="I49" i="6"/>
  <c r="J49" i="6"/>
  <c r="I64" i="6"/>
  <c r="J64" i="6"/>
  <c r="I59" i="6"/>
  <c r="J59" i="6"/>
  <c r="I15" i="6"/>
  <c r="J15" i="6"/>
  <c r="I17" i="6"/>
  <c r="J17" i="6"/>
  <c r="I45" i="6"/>
  <c r="J45" i="6"/>
  <c r="I40" i="6"/>
  <c r="J40" i="6"/>
  <c r="I7" i="6"/>
  <c r="J7" i="6"/>
  <c r="I41" i="6"/>
  <c r="J41" i="6"/>
  <c r="I61" i="6"/>
  <c r="J61" i="6"/>
  <c r="I55" i="6"/>
  <c r="J55" i="6"/>
  <c r="I8" i="6"/>
  <c r="J8" i="6"/>
  <c r="I16" i="6"/>
  <c r="J16" i="6"/>
  <c r="I25" i="6"/>
  <c r="J25" i="6"/>
  <c r="I18" i="6"/>
  <c r="J18" i="6"/>
  <c r="I2" i="6"/>
  <c r="J2" i="6"/>
  <c r="I56" i="6"/>
  <c r="J56" i="6"/>
  <c r="I63" i="6"/>
  <c r="J63" i="6"/>
  <c r="I62" i="6"/>
  <c r="J62" i="6"/>
  <c r="I12" i="6"/>
  <c r="J12" i="6"/>
  <c r="I36" i="6"/>
  <c r="J36" i="6"/>
  <c r="I54" i="6"/>
  <c r="J54" i="6"/>
  <c r="I52" i="6"/>
  <c r="J52" i="6"/>
  <c r="I13" i="6"/>
  <c r="J13" i="6"/>
  <c r="I22" i="6"/>
  <c r="J22" i="6"/>
  <c r="I47" i="6"/>
  <c r="J47" i="6"/>
  <c r="I30" i="6"/>
  <c r="J30" i="6"/>
  <c r="I10" i="6"/>
  <c r="J10" i="6"/>
  <c r="I26" i="6"/>
  <c r="J26" i="6"/>
  <c r="I39" i="6"/>
  <c r="J39" i="6"/>
  <c r="I38" i="6"/>
  <c r="J38" i="6"/>
  <c r="I6" i="6"/>
  <c r="J6" i="6"/>
  <c r="I20" i="6"/>
  <c r="J20" i="6"/>
  <c r="I35" i="6"/>
  <c r="J35" i="6"/>
  <c r="I27" i="6"/>
  <c r="J27" i="6"/>
  <c r="I4" i="6"/>
  <c r="J4" i="6"/>
  <c r="I42" i="6"/>
  <c r="J42" i="6"/>
  <c r="I46" i="6"/>
  <c r="J46" i="6"/>
  <c r="I31" i="6"/>
  <c r="J31" i="6"/>
  <c r="I14" i="6"/>
  <c r="J14" i="6"/>
  <c r="I23" i="6"/>
  <c r="J23" i="6"/>
  <c r="I43" i="6"/>
  <c r="J43" i="6"/>
  <c r="I24" i="6"/>
  <c r="J24" i="6"/>
  <c r="I5" i="6"/>
  <c r="J5" i="6"/>
  <c r="H57" i="6"/>
  <c r="H44" i="6"/>
  <c r="H11" i="6"/>
  <c r="H48" i="6"/>
  <c r="H53" i="6"/>
  <c r="H21" i="6"/>
  <c r="H28" i="6"/>
  <c r="H58" i="6"/>
  <c r="H37" i="6"/>
  <c r="H3" i="6"/>
  <c r="H33" i="6"/>
  <c r="H60" i="6"/>
  <c r="H51" i="6"/>
  <c r="H19" i="6"/>
  <c r="H49" i="6"/>
  <c r="H64" i="6"/>
  <c r="H59" i="6"/>
  <c r="H15" i="6"/>
  <c r="H17" i="6"/>
  <c r="H45" i="6"/>
  <c r="H40" i="6"/>
  <c r="H7" i="6"/>
  <c r="H41" i="6"/>
  <c r="H61" i="6"/>
  <c r="H55" i="6"/>
  <c r="H8" i="6"/>
  <c r="H16" i="6"/>
  <c r="H25" i="6"/>
  <c r="H18" i="6"/>
  <c r="H2" i="6"/>
  <c r="H56" i="6"/>
  <c r="H63" i="6"/>
  <c r="H62" i="6"/>
  <c r="H12" i="6"/>
  <c r="H36" i="6"/>
  <c r="H54" i="6"/>
  <c r="H52" i="6"/>
  <c r="H13" i="6"/>
  <c r="H22" i="6"/>
  <c r="H47" i="6"/>
  <c r="H30" i="6"/>
  <c r="H10" i="6"/>
  <c r="H26" i="6"/>
  <c r="H39" i="6"/>
  <c r="H38" i="6"/>
  <c r="H6" i="6"/>
  <c r="H20" i="6"/>
  <c r="H35" i="6"/>
  <c r="H27" i="6"/>
  <c r="H4" i="6"/>
  <c r="H42" i="6"/>
  <c r="H46" i="6"/>
  <c r="H31" i="6"/>
  <c r="H14" i="6"/>
  <c r="H23" i="6"/>
  <c r="H43" i="6"/>
  <c r="H24" i="6"/>
  <c r="H5" i="6"/>
  <c r="H32" i="6"/>
  <c r="N14" i="6" l="1"/>
  <c r="M13" i="6"/>
  <c r="M14" i="6"/>
  <c r="M7" i="6"/>
  <c r="N7" i="6"/>
  <c r="M6" i="6"/>
  <c r="M23" i="4" l="1"/>
  <c r="N23" i="4"/>
  <c r="O23" i="4"/>
  <c r="M20" i="4"/>
  <c r="N20" i="4"/>
  <c r="O20" i="4"/>
  <c r="M38" i="4"/>
  <c r="N38" i="4"/>
  <c r="O38" i="4"/>
  <c r="M54" i="4"/>
  <c r="N54" i="4"/>
  <c r="O54" i="4"/>
  <c r="M42" i="4"/>
  <c r="N42" i="4"/>
  <c r="O42" i="4"/>
  <c r="M24" i="4"/>
  <c r="N24" i="4"/>
  <c r="O24" i="4"/>
  <c r="M43" i="4"/>
  <c r="N43" i="4"/>
  <c r="O43" i="4"/>
  <c r="M62" i="4"/>
  <c r="N62" i="4"/>
  <c r="O62" i="4"/>
  <c r="M13" i="1"/>
  <c r="AD13" i="1"/>
  <c r="M47" i="1"/>
  <c r="AD47" i="1"/>
  <c r="M15" i="1"/>
  <c r="AD15" i="1"/>
  <c r="M35" i="1"/>
  <c r="AD35" i="1"/>
  <c r="AB15" i="1" l="1"/>
  <c r="V15" i="1"/>
  <c r="X15" i="1"/>
  <c r="Y47" i="1"/>
  <c r="V47" i="1"/>
  <c r="X47" i="1"/>
  <c r="Y35" i="1"/>
  <c r="V35" i="1"/>
  <c r="Y13" i="1"/>
  <c r="V13" i="1"/>
  <c r="X35" i="1"/>
  <c r="X13" i="1"/>
  <c r="AB13" i="1"/>
  <c r="AB47" i="1"/>
  <c r="AB35" i="1"/>
  <c r="AA35" i="1"/>
  <c r="AA13" i="1"/>
  <c r="AA47" i="1"/>
  <c r="Y15" i="1"/>
  <c r="AA15" i="1"/>
  <c r="M8" i="4"/>
  <c r="N8" i="4"/>
  <c r="O8" i="4"/>
  <c r="M25" i="4"/>
  <c r="N25" i="4"/>
  <c r="O25" i="4"/>
  <c r="M55" i="4"/>
  <c r="N55" i="4"/>
  <c r="O55" i="4"/>
  <c r="M14" i="4"/>
  <c r="N14" i="4"/>
  <c r="O14" i="4"/>
  <c r="M13" i="4"/>
  <c r="N13" i="4"/>
  <c r="O13" i="4"/>
  <c r="M46" i="4"/>
  <c r="N46" i="4"/>
  <c r="O46" i="4"/>
  <c r="M35" i="4"/>
  <c r="N35" i="4"/>
  <c r="O35" i="4"/>
  <c r="M9" i="4"/>
  <c r="N9" i="4"/>
  <c r="O9" i="4"/>
  <c r="M29" i="4"/>
  <c r="N29" i="4"/>
  <c r="O29" i="4"/>
  <c r="M63" i="4"/>
  <c r="N63" i="4"/>
  <c r="O63" i="4"/>
  <c r="M32" i="4"/>
  <c r="N32" i="4"/>
  <c r="O32" i="4"/>
  <c r="M6" i="4"/>
  <c r="N6" i="4"/>
  <c r="O6" i="4"/>
  <c r="M17" i="4"/>
  <c r="N17" i="4"/>
  <c r="O17" i="4"/>
  <c r="M49" i="4"/>
  <c r="N49" i="4"/>
  <c r="O49" i="4"/>
  <c r="M15" i="4"/>
  <c r="N15" i="4"/>
  <c r="O15" i="4"/>
  <c r="M2" i="4"/>
  <c r="N2" i="4"/>
  <c r="O2" i="4"/>
  <c r="M10" i="4"/>
  <c r="N10" i="4"/>
  <c r="O10" i="4"/>
  <c r="M51" i="4"/>
  <c r="N51" i="4"/>
  <c r="O51" i="4"/>
  <c r="M47" i="4"/>
  <c r="N47" i="4"/>
  <c r="O47" i="4"/>
  <c r="M21" i="4"/>
  <c r="N21" i="4"/>
  <c r="O21" i="4"/>
  <c r="M27" i="4"/>
  <c r="N27" i="4"/>
  <c r="O27" i="4"/>
  <c r="M59" i="4"/>
  <c r="N59" i="4"/>
  <c r="O59" i="4"/>
  <c r="M22" i="4"/>
  <c r="N22" i="4"/>
  <c r="O22" i="4"/>
  <c r="M5" i="4"/>
  <c r="N5" i="4"/>
  <c r="O5" i="4"/>
  <c r="M12" i="4"/>
  <c r="N12" i="4"/>
  <c r="O12" i="4"/>
  <c r="M56" i="4"/>
  <c r="N56" i="4"/>
  <c r="O56" i="4"/>
  <c r="M50" i="4"/>
  <c r="N50" i="4"/>
  <c r="O50" i="4"/>
  <c r="M41" i="4"/>
  <c r="N41" i="4"/>
  <c r="O41" i="4"/>
  <c r="M48" i="4"/>
  <c r="N48" i="4"/>
  <c r="O48" i="4"/>
  <c r="M7" i="4"/>
  <c r="N7" i="4"/>
  <c r="O7" i="4"/>
  <c r="M3" i="4"/>
  <c r="N3" i="4"/>
  <c r="O3" i="4"/>
  <c r="M4" i="4"/>
  <c r="N4" i="4"/>
  <c r="O4" i="4"/>
  <c r="M52" i="4"/>
  <c r="N52" i="4"/>
  <c r="O52" i="4"/>
  <c r="M28" i="4"/>
  <c r="N28" i="4"/>
  <c r="O28" i="4"/>
  <c r="M11" i="4"/>
  <c r="N11" i="4"/>
  <c r="O11" i="4"/>
  <c r="M18" i="4"/>
  <c r="N18" i="4"/>
  <c r="O18" i="4"/>
  <c r="M53" i="4"/>
  <c r="N53" i="4"/>
  <c r="O53" i="4"/>
  <c r="M44" i="4"/>
  <c r="N44" i="4"/>
  <c r="O44" i="4"/>
  <c r="M19" i="4"/>
  <c r="N19" i="4"/>
  <c r="O19" i="4"/>
  <c r="M37" i="4"/>
  <c r="N37" i="4"/>
  <c r="O37" i="4"/>
  <c r="M57" i="4"/>
  <c r="N57" i="4"/>
  <c r="O57" i="4"/>
  <c r="M39" i="4"/>
  <c r="N39" i="4"/>
  <c r="O39" i="4"/>
  <c r="M26" i="4"/>
  <c r="N26" i="4"/>
  <c r="O26" i="4"/>
  <c r="M30" i="4"/>
  <c r="N30" i="4"/>
  <c r="O30" i="4"/>
  <c r="M60" i="4"/>
  <c r="N60" i="4"/>
  <c r="O60" i="4"/>
  <c r="M45" i="4"/>
  <c r="N45" i="4"/>
  <c r="O45" i="4"/>
  <c r="M31" i="4"/>
  <c r="N31" i="4"/>
  <c r="O31" i="4"/>
  <c r="M40" i="4"/>
  <c r="N40" i="4"/>
  <c r="O40" i="4"/>
  <c r="M61" i="4"/>
  <c r="N61" i="4"/>
  <c r="O61" i="4"/>
  <c r="N34" i="4"/>
  <c r="O34" i="4"/>
  <c r="M34" i="4"/>
  <c r="AD36" i="1"/>
  <c r="M36" i="1"/>
  <c r="AD6" i="1"/>
  <c r="M6" i="1"/>
  <c r="AD39" i="1"/>
  <c r="M39" i="1"/>
  <c r="AD14" i="1"/>
  <c r="M14" i="1"/>
  <c r="AD37" i="1"/>
  <c r="M37" i="1"/>
  <c r="AD4" i="1"/>
  <c r="M4" i="1"/>
  <c r="AD42" i="1"/>
  <c r="M42" i="1"/>
  <c r="AD7" i="1"/>
  <c r="M7" i="1"/>
  <c r="AD38" i="1"/>
  <c r="M38" i="1"/>
  <c r="AD5" i="1"/>
  <c r="M5" i="1"/>
  <c r="AD46" i="1"/>
  <c r="M46" i="1"/>
  <c r="AD12" i="1"/>
  <c r="M12" i="1"/>
  <c r="AD49" i="1"/>
  <c r="M49" i="1"/>
  <c r="AD17" i="1"/>
  <c r="M17" i="1"/>
  <c r="AD34" i="1"/>
  <c r="M34" i="1"/>
  <c r="AD2" i="1"/>
  <c r="M2" i="1"/>
  <c r="AD43" i="1"/>
  <c r="M43" i="1"/>
  <c r="AD3" i="1"/>
  <c r="M3" i="1"/>
  <c r="AD48" i="1"/>
  <c r="M48" i="1"/>
  <c r="AD16" i="1"/>
  <c r="M16" i="1"/>
  <c r="AD45" i="1"/>
  <c r="M45" i="1"/>
  <c r="AD11" i="1"/>
  <c r="M11" i="1"/>
  <c r="AD41" i="1"/>
  <c r="M41" i="1"/>
  <c r="AD8" i="1"/>
  <c r="M8" i="1"/>
  <c r="AD44" i="1"/>
  <c r="M44" i="1"/>
  <c r="AD10" i="1"/>
  <c r="M10" i="1"/>
  <c r="AA3" i="1" l="1"/>
  <c r="Y12" i="1"/>
  <c r="V12" i="1"/>
  <c r="Y38" i="1"/>
  <c r="V38" i="1"/>
  <c r="Y39" i="1"/>
  <c r="V39" i="1"/>
  <c r="X45" i="1"/>
  <c r="AA12" i="1"/>
  <c r="Y34" i="1"/>
  <c r="V34" i="1"/>
  <c r="AB4" i="1"/>
  <c r="V4" i="1"/>
  <c r="X38" i="1"/>
  <c r="X39" i="1"/>
  <c r="AB45" i="1"/>
  <c r="V45" i="1"/>
  <c r="AA44" i="1"/>
  <c r="X11" i="1"/>
  <c r="X48" i="1"/>
  <c r="X2" i="1"/>
  <c r="AA49" i="1"/>
  <c r="AA5" i="1"/>
  <c r="AA42" i="1"/>
  <c r="AA14" i="1"/>
  <c r="AA36" i="1"/>
  <c r="X4" i="1"/>
  <c r="AB8" i="1"/>
  <c r="V8" i="1"/>
  <c r="AB3" i="1"/>
  <c r="V3" i="1"/>
  <c r="AB44" i="1"/>
  <c r="V44" i="1"/>
  <c r="AB11" i="1"/>
  <c r="V11" i="1"/>
  <c r="AB48" i="1"/>
  <c r="V48" i="1"/>
  <c r="AB2" i="1"/>
  <c r="V2" i="1"/>
  <c r="AB49" i="1"/>
  <c r="V49" i="1"/>
  <c r="AB5" i="1"/>
  <c r="V5" i="1"/>
  <c r="AB42" i="1"/>
  <c r="V42" i="1"/>
  <c r="AB14" i="1"/>
  <c r="V14" i="1"/>
  <c r="AB36" i="1"/>
  <c r="V36" i="1"/>
  <c r="X34" i="1"/>
  <c r="AA10" i="1"/>
  <c r="AA41" i="1"/>
  <c r="AA16" i="1"/>
  <c r="AA43" i="1"/>
  <c r="AA17" i="1"/>
  <c r="AA46" i="1"/>
  <c r="AA7" i="1"/>
  <c r="AA37" i="1"/>
  <c r="AA6" i="1"/>
  <c r="AA8" i="1"/>
  <c r="Y10" i="1"/>
  <c r="V10" i="1"/>
  <c r="Y41" i="1"/>
  <c r="V41" i="1"/>
  <c r="AB16" i="1"/>
  <c r="V16" i="1"/>
  <c r="Y43" i="1"/>
  <c r="V43" i="1"/>
  <c r="Y17" i="1"/>
  <c r="V17" i="1"/>
  <c r="Y46" i="1"/>
  <c r="V46" i="1"/>
  <c r="AB7" i="1"/>
  <c r="V7" i="1"/>
  <c r="Y37" i="1"/>
  <c r="V37" i="1"/>
  <c r="AB6" i="1"/>
  <c r="V6" i="1"/>
  <c r="X3" i="1"/>
  <c r="AB17" i="1"/>
  <c r="AA45" i="1"/>
  <c r="Y3" i="1"/>
  <c r="AB46" i="1"/>
  <c r="Y16" i="1"/>
  <c r="X12" i="1"/>
  <c r="AA39" i="1"/>
  <c r="X36" i="1"/>
  <c r="X8" i="1"/>
  <c r="AB34" i="1"/>
  <c r="Y45" i="1"/>
  <c r="Y44" i="1"/>
  <c r="Y8" i="1"/>
  <c r="AA11" i="1"/>
  <c r="X14" i="1"/>
  <c r="AB10" i="1"/>
  <c r="AB37" i="1"/>
  <c r="X49" i="1"/>
  <c r="Y4" i="1"/>
  <c r="Y42" i="1"/>
  <c r="AA4" i="1"/>
  <c r="Y48" i="1"/>
  <c r="Y6" i="1"/>
  <c r="AA2" i="1"/>
  <c r="AA34" i="1"/>
  <c r="X5" i="1"/>
  <c r="Y36" i="1"/>
  <c r="AB41" i="1"/>
  <c r="AA38" i="1"/>
  <c r="Y7" i="1"/>
  <c r="AB38" i="1"/>
  <c r="AA48" i="1"/>
  <c r="AB12" i="1"/>
  <c r="AB39" i="1"/>
  <c r="AB43" i="1"/>
  <c r="Y11" i="1"/>
  <c r="Y2" i="1"/>
  <c r="X42" i="1"/>
  <c r="X44" i="1"/>
  <c r="Y49" i="1"/>
  <c r="Y14" i="1"/>
  <c r="Y5" i="1"/>
  <c r="X10" i="1"/>
  <c r="X41" i="1"/>
  <c r="X16" i="1"/>
  <c r="X43" i="1"/>
  <c r="X17" i="1"/>
  <c r="X46" i="1"/>
  <c r="X7" i="1"/>
  <c r="X37" i="1"/>
  <c r="X6" i="1"/>
</calcChain>
</file>

<file path=xl/sharedStrings.xml><?xml version="1.0" encoding="utf-8"?>
<sst xmlns="http://schemas.openxmlformats.org/spreadsheetml/2006/main" count="1170" uniqueCount="180">
  <si>
    <t>diff</t>
  </si>
  <si>
    <t xml:space="preserve">name </t>
  </si>
  <si>
    <t>cj length</t>
  </si>
  <si>
    <t>seg1</t>
  </si>
  <si>
    <t>seg2</t>
  </si>
  <si>
    <t>seg3</t>
  </si>
  <si>
    <t>aw length</t>
  </si>
  <si>
    <t>a</t>
  </si>
  <si>
    <t>b</t>
  </si>
  <si>
    <t>gamma</t>
  </si>
  <si>
    <t>name</t>
  </si>
  <si>
    <t>min</t>
  </si>
  <si>
    <t>max</t>
  </si>
  <si>
    <t>min/max ratio</t>
  </si>
  <si>
    <t>andrew_r.jpg</t>
  </si>
  <si>
    <t>andrew_r.txt</t>
  </si>
  <si>
    <t>chenmeixi_r.jpg</t>
  </si>
  <si>
    <t>chenmeixi_r.txt</t>
  </si>
  <si>
    <t>chukai_r.jpg</t>
  </si>
  <si>
    <t>chukai_r.txt</t>
  </si>
  <si>
    <t>conglifu_r.jpg</t>
  </si>
  <si>
    <t>conglifu_r.txt</t>
  </si>
  <si>
    <t>ruimin_r.jpg</t>
  </si>
  <si>
    <t>ruimin_r.txt</t>
  </si>
  <si>
    <t>shuangshishi_r.jpg</t>
  </si>
  <si>
    <t>shuangshishi_r.txt</t>
  </si>
  <si>
    <t>tangjuxue_r.jpg</t>
  </si>
  <si>
    <t>tangjuxue_r.txt</t>
  </si>
  <si>
    <t>ts_r.jpg</t>
  </si>
  <si>
    <t>ts_r.txt</t>
  </si>
  <si>
    <t>weiguo_r.jpg</t>
  </si>
  <si>
    <t>weiguo_r.txt</t>
  </si>
  <si>
    <t>zhangyouyou_r.jpg</t>
  </si>
  <si>
    <t>zhangyouyou_r.txt</t>
  </si>
  <si>
    <t>zhangzi_r.jpg</t>
  </si>
  <si>
    <t>zhangzi_r.txt</t>
  </si>
  <si>
    <t>zhouran_r.jpg</t>
  </si>
  <si>
    <t>zhouran_r.txt</t>
  </si>
  <si>
    <t>zixiang_r.jpg</t>
  </si>
  <si>
    <t>zixiang_r.txt</t>
  </si>
  <si>
    <t>cos min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</si>
  <si>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</si>
  <si>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</si>
  <si>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</si>
  <si>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</si>
  <si>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</si>
  <si>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</si>
  <si>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</si>
  <si>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</si>
  <si>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</si>
  <si>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</si>
  <si>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</si>
  <si>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</si>
  <si>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</si>
  <si>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</si>
  <si>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</si>
  <si>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</si>
  <si>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</si>
  <si>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</si>
  <si>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</si>
  <si>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</si>
  <si>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</si>
  <si>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</si>
  <si>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</si>
  <si>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</si>
  <si>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RESIDUAL OUTPUT</t>
  </si>
  <si>
    <t>Observation</t>
  </si>
  <si>
    <t>Predicted cos min</t>
  </si>
  <si>
    <t>Residuals</t>
  </si>
  <si>
    <t>n1</t>
  </si>
  <si>
    <t>n2</t>
  </si>
  <si>
    <t>n3</t>
  </si>
  <si>
    <t>finger</t>
  </si>
  <si>
    <t>Column1</t>
  </si>
  <si>
    <t>Column2</t>
  </si>
  <si>
    <t>Column6</t>
  </si>
  <si>
    <t>Column8</t>
  </si>
  <si>
    <t>sin min</t>
  </si>
  <si>
    <t>sin max</t>
  </si>
  <si>
    <t>cos max</t>
  </si>
  <si>
    <t>scaled min</t>
  </si>
  <si>
    <t>scaled max</t>
  </si>
  <si>
    <t>cos min against seg1, seg2, seg3 for all fingers</t>
  </si>
  <si>
    <t>cos min against n1, n2, n3 all fingers</t>
  </si>
  <si>
    <t>Predicted sin min</t>
  </si>
  <si>
    <t>sin min against seg1, seg2, seg3 for all fingers</t>
  </si>
  <si>
    <t>Predicted scaled min</t>
  </si>
  <si>
    <t>chengjie_r.txt</t>
  </si>
  <si>
    <t>shuaishuai_r.txt</t>
  </si>
  <si>
    <t>chengjie_r.jpg</t>
  </si>
  <si>
    <t>shuaishuai_r.jpg</t>
  </si>
  <si>
    <t>seg1rank</t>
  </si>
  <si>
    <t>seg2rank</t>
  </si>
  <si>
    <t>seg3rank</t>
  </si>
  <si>
    <t>All fingers</t>
  </si>
  <si>
    <t>^rank correlation</t>
  </si>
  <si>
    <t>&lt;- Pearson correlation</t>
  </si>
  <si>
    <t>ones</t>
  </si>
  <si>
    <t>Finger 2</t>
  </si>
  <si>
    <t>cos min against seg1, seg3 for finger 2</t>
  </si>
  <si>
    <t>cos min against seg2, seg3 for finger 2</t>
  </si>
  <si>
    <t>sunjiayue_r.jpg</t>
  </si>
  <si>
    <t>sunjiayue_r.txt</t>
  </si>
  <si>
    <t>scaled min against seg1,seg2,seg3 for all fingers</t>
  </si>
  <si>
    <t>predicted min</t>
  </si>
  <si>
    <t>Predicted 815.55</t>
  </si>
  <si>
    <t>min against seg1, seg2, seg3 for finger 3</t>
  </si>
  <si>
    <t>MinB</t>
  </si>
  <si>
    <t>MaxB</t>
  </si>
  <si>
    <t>scaled (max-min)</t>
  </si>
  <si>
    <t>scaled(fingmax-min)</t>
  </si>
  <si>
    <t>Finger</t>
  </si>
  <si>
    <t>R-Hand</t>
  </si>
  <si>
    <t>Predicted scaled(fingmax-min)</t>
  </si>
  <si>
    <t>Predicted scaled (max-min)</t>
  </si>
  <si>
    <t>cos maxmin</t>
  </si>
  <si>
    <t>cos fingmaxmin</t>
  </si>
  <si>
    <t>Predicted cos maxmin</t>
  </si>
  <si>
    <t>Predicted cos fingmaxmin</t>
  </si>
  <si>
    <t>sin(180-maxmin)</t>
  </si>
  <si>
    <t>Predicted sin(180-maxmin)</t>
  </si>
  <si>
    <t>sin (180-maxmin)</t>
  </si>
  <si>
    <t>qingge_r.jpg</t>
  </si>
  <si>
    <t>qingge_r.txt</t>
  </si>
  <si>
    <t>predicc</t>
  </si>
  <si>
    <t>max-min</t>
  </si>
  <si>
    <t>fingmax-max</t>
  </si>
  <si>
    <t>fingmax - (max-min)</t>
  </si>
  <si>
    <t>Smin</t>
  </si>
  <si>
    <t>Smax</t>
  </si>
  <si>
    <t>Column3</t>
  </si>
  <si>
    <t>Column4</t>
  </si>
  <si>
    <t>Smax-Smin</t>
  </si>
  <si>
    <t>Smax Smin avg</t>
  </si>
  <si>
    <t>stdev</t>
  </si>
  <si>
    <t>corr</t>
  </si>
  <si>
    <t>corr2</t>
  </si>
  <si>
    <t>corr3</t>
  </si>
  <si>
    <t>corr4</t>
  </si>
  <si>
    <t>corr5</t>
  </si>
  <si>
    <t>avdevs</t>
  </si>
  <si>
    <t>avdev</t>
  </si>
  <si>
    <t>Rmin</t>
  </si>
  <si>
    <t>Rmax</t>
  </si>
  <si>
    <t>Rmax-Rmin</t>
  </si>
  <si>
    <t>Rmax Rmin mean</t>
  </si>
  <si>
    <t>av</t>
  </si>
  <si>
    <t>Column5</t>
  </si>
  <si>
    <t>Column7</t>
  </si>
  <si>
    <t>Column9</t>
  </si>
  <si>
    <t>NEW Smin</t>
  </si>
  <si>
    <t>NEW Rmin</t>
  </si>
  <si>
    <t>NEW Rmax</t>
  </si>
  <si>
    <t>BENT  min</t>
  </si>
  <si>
    <t>max-&gt; ^max</t>
  </si>
  <si>
    <t>min -&gt; ^max-^(max-min)</t>
  </si>
  <si>
    <t>intercept</t>
  </si>
  <si>
    <t>slope</t>
  </si>
  <si>
    <t>residual mean</t>
  </si>
  <si>
    <t>NEW Rmax-Rmin</t>
  </si>
  <si>
    <t>MAD</t>
  </si>
  <si>
    <t>residual median</t>
  </si>
  <si>
    <t>scale</t>
  </si>
  <si>
    <t>MF</t>
  </si>
  <si>
    <t>M</t>
  </si>
  <si>
    <t>avs</t>
  </si>
  <si>
    <t>name2</t>
  </si>
  <si>
    <t>bent min/max</t>
  </si>
  <si>
    <t>thumb</t>
  </si>
  <si>
    <t>split min/max</t>
  </si>
  <si>
    <t>rot</t>
  </si>
  <si>
    <t>diffs</t>
  </si>
  <si>
    <t>mean</t>
  </si>
  <si>
    <t>median</t>
  </si>
  <si>
    <t>just bent</t>
  </si>
  <si>
    <t>pinky length</t>
  </si>
  <si>
    <t>sunjiayue_r2.txt</t>
  </si>
  <si>
    <t>cj_normal</t>
  </si>
  <si>
    <t>cj_different2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</si>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</sst>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#,##0.0"/>
  </numFmts>
  <fonts count="5">
    <font>
      <sz val="10"/>
      <name val="Arial"/>
      <family val="2"/>
      <charset val="134"/>
    </font>
    <font>
      <i/>
      <sz val="10"/>
      <name val="Arial"/>
      <family val="2"/>
      <charset val="134"/>
    </font>
    <font>
      <b/>
      <sz val="10"/>
      <name val="Arial"/>
      <family val="2"/>
    </font>
    <font>
      <i/>
      <sz val="10"/>
      <name val="Arial"/>
      <family val="2"/>
    </font>
    <font>
      <sz val="8"/>
      <name val="Arial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E994"/>
        <bgColor rgb="FFFFCC9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FF0000"/>
      </right>
      <top/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/>
    <xf numFmtId="0" fontId="0" fillId="2" borderId="0" xfId="0" applyFont="1" applyFill="1" applyAlignment="1"/>
    <xf numFmtId="0" fontId="0" fillId="3" borderId="0" xfId="0" applyFont="1" applyFill="1" applyAlignment="1"/>
    <xf numFmtId="0" fontId="0" fillId="0" borderId="0" xfId="0" applyAlignment="1">
      <alignment horizontal="center"/>
    </xf>
    <xf numFmtId="164" fontId="0" fillId="0" borderId="0" xfId="0" applyNumberFormat="1" applyAlignment="1"/>
    <xf numFmtId="0" fontId="0" fillId="0" borderId="0" xfId="0" applyAlignment="1"/>
    <xf numFmtId="2" fontId="0" fillId="0" borderId="0" xfId="0" applyNumberFormat="1" applyAlignment="1">
      <alignment horizontal="center"/>
    </xf>
    <xf numFmtId="165" fontId="0" fillId="0" borderId="0" xfId="0" applyNumberFormat="1" applyAlignment="1"/>
    <xf numFmtId="166" fontId="0" fillId="0" borderId="0" xfId="0" applyNumberFormat="1" applyAlignment="1">
      <alignment horizontal="center"/>
    </xf>
    <xf numFmtId="0" fontId="0" fillId="0" borderId="0" xfId="0" applyFill="1" applyBorder="1" applyAlignment="1"/>
    <xf numFmtId="0" fontId="0" fillId="0" borderId="1" xfId="0" applyFill="1" applyBorder="1" applyAlignment="1"/>
    <xf numFmtId="0" fontId="1" fillId="0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Continuous"/>
    </xf>
    <xf numFmtId="0" fontId="2" fillId="0" borderId="0" xfId="0" applyFont="1"/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0" borderId="0" xfId="0" quotePrefix="1"/>
    <xf numFmtId="0" fontId="1" fillId="0" borderId="3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 applyAlignment="1"/>
    <xf numFmtId="2" fontId="0" fillId="0" borderId="0" xfId="0" applyNumberFormat="1" applyAlignment="1"/>
    <xf numFmtId="0" fontId="0" fillId="0" borderId="0" xfId="0" applyAlignment="1">
      <alignment wrapText="1"/>
    </xf>
    <xf numFmtId="0" fontId="0" fillId="2" borderId="0" xfId="0" applyFont="1" applyFill="1" applyAlignment="1">
      <alignment wrapText="1"/>
    </xf>
    <xf numFmtId="0" fontId="0" fillId="3" borderId="0" xfId="0" applyFont="1" applyFill="1" applyAlignment="1">
      <alignment wrapText="1"/>
    </xf>
    <xf numFmtId="0" fontId="0" fillId="4" borderId="0" xfId="0" applyFill="1" applyBorder="1" applyAlignment="1"/>
    <xf numFmtId="0" fontId="0" fillId="4" borderId="0" xfId="0" applyFill="1"/>
    <xf numFmtId="0" fontId="0" fillId="0" borderId="0" xfId="0" quotePrefix="1" applyAlignment="1">
      <alignment wrapText="1"/>
    </xf>
    <xf numFmtId="0" fontId="0" fillId="0" borderId="5" xfId="0" applyBorder="1" applyAlignment="1"/>
    <xf numFmtId="164" fontId="0" fillId="0" borderId="0" xfId="0" applyNumberFormat="1"/>
    <xf numFmtId="164" fontId="0" fillId="5" borderId="4" xfId="0" applyNumberFormat="1" applyFill="1" applyBorder="1" applyAlignment="1"/>
    <xf numFmtId="164" fontId="0" fillId="5" borderId="6" xfId="0" applyNumberFormat="1" applyFill="1" applyBorder="1" applyAlignment="1"/>
    <xf numFmtId="164" fontId="0" fillId="5" borderId="0" xfId="0" applyNumberFormat="1" applyFill="1" applyAlignme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12" xfId="0" applyBorder="1"/>
    <xf numFmtId="2" fontId="0" fillId="0" borderId="0" xfId="0" applyNumberFormat="1" applyBorder="1"/>
    <xf numFmtId="0" fontId="0" fillId="0" borderId="11" xfId="0" applyBorder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2" fontId="0" fillId="0" borderId="3" xfId="0" applyNumberFormat="1" applyBorder="1"/>
    <xf numFmtId="0" fontId="0" fillId="0" borderId="12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 applyAlignment="1"/>
    <xf numFmtId="0" fontId="0" fillId="0" borderId="15" xfId="0" applyBorder="1"/>
    <xf numFmtId="0" fontId="0" fillId="0" borderId="14" xfId="0" applyBorder="1" applyAlignment="1"/>
    <xf numFmtId="0" fontId="0" fillId="0" borderId="0" xfId="0" applyAlignment="1">
      <alignment horizontal="center" wrapText="1"/>
    </xf>
  </cellXfs>
  <cellStyles count="1">
    <cellStyle name="Normal" xfId="0" builtinId="0"/>
  </cellStyles>
  <dxfs count="1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134"/>
        <scheme val="none"/>
      </font>
      <fill>
        <patternFill patternType="solid">
          <fgColor rgb="FFFFCC99"/>
          <bgColor rgb="FFFFE994"/>
        </patternFill>
      </fill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0.0000"/>
      <alignment horizontal="general" vertical="bottom" textRotation="0" wrapText="0" indent="0" justifyLastLine="0" shrinkToFit="0" readingOrder="0"/>
    </dxf>
    <dxf>
      <numFmt numFmtId="165" formatCode="0.0000"/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0.0000"/>
      <alignment horizontal="general" vertical="bottom" textRotation="0" wrapText="0" indent="0" justifyLastLine="0" shrinkToFit="0" readingOrder="0"/>
    </dxf>
    <dxf>
      <numFmt numFmtId="165" formatCode="0.0000"/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994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max and</a:t>
            </a:r>
            <a:r>
              <a:rPr lang="en-GB" baseline="0"/>
              <a:t> (max-min) against finger length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img!$Q$1</c:f>
              <c:strCache>
                <c:ptCount val="1"/>
                <c:pt idx="0">
                  <c:v>max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7.9143044619422578E-2"/>
                  <c:y val="-5.111989874447050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img!$H$2:$H$64</c:f>
              <c:numCache>
                <c:formatCode>General</c:formatCode>
                <c:ptCount val="63"/>
                <c:pt idx="0" formatCode="#,##0.0">
                  <c:v>97</c:v>
                </c:pt>
                <c:pt idx="1">
                  <c:v>99</c:v>
                </c:pt>
                <c:pt idx="2">
                  <c:v>101</c:v>
                </c:pt>
                <c:pt idx="3">
                  <c:v>102</c:v>
                </c:pt>
                <c:pt idx="4">
                  <c:v>104</c:v>
                </c:pt>
                <c:pt idx="5">
                  <c:v>106</c:v>
                </c:pt>
                <c:pt idx="6" formatCode="#,##0.0">
                  <c:v>107</c:v>
                </c:pt>
                <c:pt idx="7">
                  <c:v>107</c:v>
                </c:pt>
                <c:pt idx="8">
                  <c:v>108</c:v>
                </c:pt>
                <c:pt idx="9" formatCode="#,##0.0">
                  <c:v>109</c:v>
                </c:pt>
                <c:pt idx="10" formatCode="#,##0.0">
                  <c:v>111</c:v>
                </c:pt>
                <c:pt idx="11">
                  <c:v>113</c:v>
                </c:pt>
                <c:pt idx="12">
                  <c:v>113</c:v>
                </c:pt>
                <c:pt idx="13">
                  <c:v>117</c:v>
                </c:pt>
                <c:pt idx="14" formatCode="#,##0.0">
                  <c:v>117</c:v>
                </c:pt>
                <c:pt idx="15" formatCode="#,##0.0">
                  <c:v>121</c:v>
                </c:pt>
                <c:pt idx="16" formatCode="#,##0.0">
                  <c:v>105</c:v>
                </c:pt>
                <c:pt idx="17">
                  <c:v>110</c:v>
                </c:pt>
                <c:pt idx="18">
                  <c:v>112</c:v>
                </c:pt>
                <c:pt idx="19">
                  <c:v>113</c:v>
                </c:pt>
                <c:pt idx="20">
                  <c:v>114</c:v>
                </c:pt>
                <c:pt idx="21">
                  <c:v>115</c:v>
                </c:pt>
                <c:pt idx="22">
                  <c:v>116</c:v>
                </c:pt>
                <c:pt idx="23">
                  <c:v>117</c:v>
                </c:pt>
                <c:pt idx="24">
                  <c:v>118</c:v>
                </c:pt>
                <c:pt idx="25" formatCode="#,##0.0">
                  <c:v>120</c:v>
                </c:pt>
                <c:pt idx="26">
                  <c:v>121</c:v>
                </c:pt>
                <c:pt idx="27" formatCode="#,##0.0">
                  <c:v>121</c:v>
                </c:pt>
                <c:pt idx="28" formatCode="#,##0.0">
                  <c:v>122</c:v>
                </c:pt>
                <c:pt idx="29">
                  <c:v>124</c:v>
                </c:pt>
                <c:pt idx="30" formatCode="#,##0.0">
                  <c:v>132</c:v>
                </c:pt>
                <c:pt idx="31" formatCode="#,##0.0">
                  <c:v>133</c:v>
                </c:pt>
                <c:pt idx="32" formatCode="#,##0.0">
                  <c:v>99</c:v>
                </c:pt>
                <c:pt idx="33">
                  <c:v>101</c:v>
                </c:pt>
                <c:pt idx="34">
                  <c:v>104</c:v>
                </c:pt>
                <c:pt idx="35">
                  <c:v>106</c:v>
                </c:pt>
                <c:pt idx="36">
                  <c:v>107</c:v>
                </c:pt>
                <c:pt idx="37">
                  <c:v>107</c:v>
                </c:pt>
                <c:pt idx="38">
                  <c:v>109</c:v>
                </c:pt>
                <c:pt idx="39" formatCode="#,##0.0">
                  <c:v>111</c:v>
                </c:pt>
                <c:pt idx="40">
                  <c:v>111</c:v>
                </c:pt>
                <c:pt idx="41">
                  <c:v>112</c:v>
                </c:pt>
                <c:pt idx="42">
                  <c:v>113</c:v>
                </c:pt>
                <c:pt idx="43" formatCode="#,##0.0">
                  <c:v>117</c:v>
                </c:pt>
                <c:pt idx="44" formatCode="#,##0.0">
                  <c:v>117</c:v>
                </c:pt>
                <c:pt idx="45">
                  <c:v>120</c:v>
                </c:pt>
                <c:pt idx="46" formatCode="#,##0.0">
                  <c:v>121</c:v>
                </c:pt>
                <c:pt idx="47" formatCode="#,##0.0">
                  <c:v>126</c:v>
                </c:pt>
                <c:pt idx="48" formatCode="#,##0.0">
                  <c:v>75</c:v>
                </c:pt>
                <c:pt idx="49" formatCode="#,##0.0">
                  <c:v>84</c:v>
                </c:pt>
                <c:pt idx="50">
                  <c:v>86</c:v>
                </c:pt>
                <c:pt idx="51">
                  <c:v>86</c:v>
                </c:pt>
                <c:pt idx="52">
                  <c:v>87</c:v>
                </c:pt>
                <c:pt idx="53">
                  <c:v>88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91</c:v>
                </c:pt>
                <c:pt idx="58" formatCode="#,##0.0">
                  <c:v>93</c:v>
                </c:pt>
                <c:pt idx="59" formatCode="#,##0.0">
                  <c:v>93</c:v>
                </c:pt>
                <c:pt idx="60">
                  <c:v>93</c:v>
                </c:pt>
                <c:pt idx="61" formatCode="#,##0.0">
                  <c:v>95</c:v>
                </c:pt>
                <c:pt idx="62" formatCode="#,##0.0">
                  <c:v>99</c:v>
                </c:pt>
              </c:numCache>
            </c:numRef>
          </c:xVal>
          <c:yVal>
            <c:numRef>
              <c:f>img!$Q$2:$Q$64</c:f>
              <c:numCache>
                <c:formatCode>General</c:formatCode>
                <c:ptCount val="63"/>
                <c:pt idx="0">
                  <c:v>2953.11</c:v>
                </c:pt>
                <c:pt idx="1">
                  <c:v>2834.17</c:v>
                </c:pt>
                <c:pt idx="2">
                  <c:v>2999.41</c:v>
                </c:pt>
                <c:pt idx="3">
                  <c:v>2847.44</c:v>
                </c:pt>
                <c:pt idx="4">
                  <c:v>3076.63</c:v>
                </c:pt>
                <c:pt idx="5">
                  <c:v>2966.99</c:v>
                </c:pt>
                <c:pt idx="6">
                  <c:v>3077.4</c:v>
                </c:pt>
                <c:pt idx="7">
                  <c:v>3014.25</c:v>
                </c:pt>
                <c:pt idx="8">
                  <c:v>2916.81</c:v>
                </c:pt>
                <c:pt idx="9">
                  <c:v>2864.08</c:v>
                </c:pt>
                <c:pt idx="10">
                  <c:v>2849.22</c:v>
                </c:pt>
                <c:pt idx="11">
                  <c:v>2977.85</c:v>
                </c:pt>
                <c:pt idx="12">
                  <c:v>3076.38</c:v>
                </c:pt>
                <c:pt idx="13">
                  <c:v>2843.74</c:v>
                </c:pt>
                <c:pt idx="14">
                  <c:v>3075.1</c:v>
                </c:pt>
                <c:pt idx="15">
                  <c:v>2887.04</c:v>
                </c:pt>
                <c:pt idx="16">
                  <c:v>3005.85</c:v>
                </c:pt>
                <c:pt idx="17">
                  <c:v>3013.76</c:v>
                </c:pt>
                <c:pt idx="18">
                  <c:v>3011.86</c:v>
                </c:pt>
                <c:pt idx="19">
                  <c:v>3013.78</c:v>
                </c:pt>
                <c:pt idx="20">
                  <c:v>3004.2</c:v>
                </c:pt>
                <c:pt idx="21">
                  <c:v>3013.75</c:v>
                </c:pt>
                <c:pt idx="22">
                  <c:v>3011.04</c:v>
                </c:pt>
                <c:pt idx="23">
                  <c:v>3013.84</c:v>
                </c:pt>
                <c:pt idx="24">
                  <c:v>3013.19</c:v>
                </c:pt>
                <c:pt idx="25">
                  <c:v>2972.03</c:v>
                </c:pt>
                <c:pt idx="26">
                  <c:v>3011.96</c:v>
                </c:pt>
                <c:pt idx="27">
                  <c:v>3012.24</c:v>
                </c:pt>
                <c:pt idx="28">
                  <c:v>3011.65</c:v>
                </c:pt>
                <c:pt idx="29">
                  <c:v>3011.46</c:v>
                </c:pt>
                <c:pt idx="30">
                  <c:v>2963.87</c:v>
                </c:pt>
                <c:pt idx="31">
                  <c:v>3009.99</c:v>
                </c:pt>
                <c:pt idx="32">
                  <c:v>2933.07</c:v>
                </c:pt>
                <c:pt idx="33">
                  <c:v>3052.2</c:v>
                </c:pt>
                <c:pt idx="34">
                  <c:v>3093.26</c:v>
                </c:pt>
                <c:pt idx="35">
                  <c:v>3093.06</c:v>
                </c:pt>
                <c:pt idx="36">
                  <c:v>2972.18</c:v>
                </c:pt>
                <c:pt idx="37">
                  <c:v>3092.15</c:v>
                </c:pt>
                <c:pt idx="38">
                  <c:v>3095.24</c:v>
                </c:pt>
                <c:pt idx="39">
                  <c:v>3050.04</c:v>
                </c:pt>
                <c:pt idx="40">
                  <c:v>3092.77</c:v>
                </c:pt>
                <c:pt idx="41">
                  <c:v>2909.09</c:v>
                </c:pt>
                <c:pt idx="42">
                  <c:v>3092.84</c:v>
                </c:pt>
                <c:pt idx="43">
                  <c:v>2886.74</c:v>
                </c:pt>
                <c:pt idx="44">
                  <c:v>2955.08</c:v>
                </c:pt>
                <c:pt idx="45">
                  <c:v>3048.64</c:v>
                </c:pt>
                <c:pt idx="46">
                  <c:v>3091.69</c:v>
                </c:pt>
                <c:pt idx="47">
                  <c:v>2946.51</c:v>
                </c:pt>
                <c:pt idx="49">
                  <c:v>2778.48</c:v>
                </c:pt>
                <c:pt idx="50">
                  <c:v>2771.17</c:v>
                </c:pt>
                <c:pt idx="51">
                  <c:v>3022.56</c:v>
                </c:pt>
                <c:pt idx="52">
                  <c:v>2888.97</c:v>
                </c:pt>
                <c:pt idx="53">
                  <c:v>2735.71</c:v>
                </c:pt>
                <c:pt idx="54">
                  <c:v>2910.66</c:v>
                </c:pt>
                <c:pt idx="55">
                  <c:v>2835.54</c:v>
                </c:pt>
                <c:pt idx="56">
                  <c:v>2887.84</c:v>
                </c:pt>
                <c:pt idx="57">
                  <c:v>2793.75</c:v>
                </c:pt>
                <c:pt idx="58">
                  <c:v>2848.97</c:v>
                </c:pt>
                <c:pt idx="59">
                  <c:v>2847.82</c:v>
                </c:pt>
                <c:pt idx="60">
                  <c:v>2770.54</c:v>
                </c:pt>
                <c:pt idx="61">
                  <c:v>2884.59</c:v>
                </c:pt>
                <c:pt idx="62">
                  <c:v>2879.19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9-4FD9-A10A-2271CBC2B8B3}"/>
            </c:ext>
          </c:extLst>
        </c:ser>
        <c:ser>
          <c:idx val="1"/>
          <c:order val="1"/>
          <c:tx>
            <c:strRef>
              <c:f>img!$R$1</c:f>
              <c:strCache>
                <c:ptCount val="1"/>
                <c:pt idx="0">
                  <c:v>max-min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3.3879981568344812E-2"/>
                  <c:y val="0.1459456640767586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img!$H$2:$H$64</c:f>
              <c:numCache>
                <c:formatCode>General</c:formatCode>
                <c:ptCount val="63"/>
                <c:pt idx="0" formatCode="#,##0.0">
                  <c:v>97</c:v>
                </c:pt>
                <c:pt idx="1">
                  <c:v>99</c:v>
                </c:pt>
                <c:pt idx="2">
                  <c:v>101</c:v>
                </c:pt>
                <c:pt idx="3">
                  <c:v>102</c:v>
                </c:pt>
                <c:pt idx="4">
                  <c:v>104</c:v>
                </c:pt>
                <c:pt idx="5">
                  <c:v>106</c:v>
                </c:pt>
                <c:pt idx="6" formatCode="#,##0.0">
                  <c:v>107</c:v>
                </c:pt>
                <c:pt idx="7">
                  <c:v>107</c:v>
                </c:pt>
                <c:pt idx="8">
                  <c:v>108</c:v>
                </c:pt>
                <c:pt idx="9" formatCode="#,##0.0">
                  <c:v>109</c:v>
                </c:pt>
                <c:pt idx="10" formatCode="#,##0.0">
                  <c:v>111</c:v>
                </c:pt>
                <c:pt idx="11">
                  <c:v>113</c:v>
                </c:pt>
                <c:pt idx="12">
                  <c:v>113</c:v>
                </c:pt>
                <c:pt idx="13">
                  <c:v>117</c:v>
                </c:pt>
                <c:pt idx="14" formatCode="#,##0.0">
                  <c:v>117</c:v>
                </c:pt>
                <c:pt idx="15" formatCode="#,##0.0">
                  <c:v>121</c:v>
                </c:pt>
                <c:pt idx="16" formatCode="#,##0.0">
                  <c:v>105</c:v>
                </c:pt>
                <c:pt idx="17">
                  <c:v>110</c:v>
                </c:pt>
                <c:pt idx="18">
                  <c:v>112</c:v>
                </c:pt>
                <c:pt idx="19">
                  <c:v>113</c:v>
                </c:pt>
                <c:pt idx="20">
                  <c:v>114</c:v>
                </c:pt>
                <c:pt idx="21">
                  <c:v>115</c:v>
                </c:pt>
                <c:pt idx="22">
                  <c:v>116</c:v>
                </c:pt>
                <c:pt idx="23">
                  <c:v>117</c:v>
                </c:pt>
                <c:pt idx="24">
                  <c:v>118</c:v>
                </c:pt>
                <c:pt idx="25" formatCode="#,##0.0">
                  <c:v>120</c:v>
                </c:pt>
                <c:pt idx="26">
                  <c:v>121</c:v>
                </c:pt>
                <c:pt idx="27" formatCode="#,##0.0">
                  <c:v>121</c:v>
                </c:pt>
                <c:pt idx="28" formatCode="#,##0.0">
                  <c:v>122</c:v>
                </c:pt>
                <c:pt idx="29">
                  <c:v>124</c:v>
                </c:pt>
                <c:pt idx="30" formatCode="#,##0.0">
                  <c:v>132</c:v>
                </c:pt>
                <c:pt idx="31" formatCode="#,##0.0">
                  <c:v>133</c:v>
                </c:pt>
                <c:pt idx="32" formatCode="#,##0.0">
                  <c:v>99</c:v>
                </c:pt>
                <c:pt idx="33">
                  <c:v>101</c:v>
                </c:pt>
                <c:pt idx="34">
                  <c:v>104</c:v>
                </c:pt>
                <c:pt idx="35">
                  <c:v>106</c:v>
                </c:pt>
                <c:pt idx="36">
                  <c:v>107</c:v>
                </c:pt>
                <c:pt idx="37">
                  <c:v>107</c:v>
                </c:pt>
                <c:pt idx="38">
                  <c:v>109</c:v>
                </c:pt>
                <c:pt idx="39" formatCode="#,##0.0">
                  <c:v>111</c:v>
                </c:pt>
                <c:pt idx="40">
                  <c:v>111</c:v>
                </c:pt>
                <c:pt idx="41">
                  <c:v>112</c:v>
                </c:pt>
                <c:pt idx="42">
                  <c:v>113</c:v>
                </c:pt>
                <c:pt idx="43" formatCode="#,##0.0">
                  <c:v>117</c:v>
                </c:pt>
                <c:pt idx="44" formatCode="#,##0.0">
                  <c:v>117</c:v>
                </c:pt>
                <c:pt idx="45">
                  <c:v>120</c:v>
                </c:pt>
                <c:pt idx="46" formatCode="#,##0.0">
                  <c:v>121</c:v>
                </c:pt>
                <c:pt idx="47" formatCode="#,##0.0">
                  <c:v>126</c:v>
                </c:pt>
                <c:pt idx="48" formatCode="#,##0.0">
                  <c:v>75</c:v>
                </c:pt>
                <c:pt idx="49" formatCode="#,##0.0">
                  <c:v>84</c:v>
                </c:pt>
                <c:pt idx="50">
                  <c:v>86</c:v>
                </c:pt>
                <c:pt idx="51">
                  <c:v>86</c:v>
                </c:pt>
                <c:pt idx="52">
                  <c:v>87</c:v>
                </c:pt>
                <c:pt idx="53">
                  <c:v>88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91</c:v>
                </c:pt>
                <c:pt idx="58" formatCode="#,##0.0">
                  <c:v>93</c:v>
                </c:pt>
                <c:pt idx="59" formatCode="#,##0.0">
                  <c:v>93</c:v>
                </c:pt>
                <c:pt idx="60">
                  <c:v>93</c:v>
                </c:pt>
                <c:pt idx="61" formatCode="#,##0.0">
                  <c:v>95</c:v>
                </c:pt>
                <c:pt idx="62" formatCode="#,##0.0">
                  <c:v>99</c:v>
                </c:pt>
              </c:numCache>
            </c:numRef>
          </c:xVal>
          <c:yVal>
            <c:numRef>
              <c:f>img!$R$2:$R$64</c:f>
              <c:numCache>
                <c:formatCode>General</c:formatCode>
                <c:ptCount val="63"/>
                <c:pt idx="0">
                  <c:v>1974.8200000000002</c:v>
                </c:pt>
                <c:pt idx="1">
                  <c:v>2028.19</c:v>
                </c:pt>
                <c:pt idx="2">
                  <c:v>2040.8199999999997</c:v>
                </c:pt>
                <c:pt idx="3">
                  <c:v>1978.06</c:v>
                </c:pt>
                <c:pt idx="4">
                  <c:v>2149.16</c:v>
                </c:pt>
                <c:pt idx="5">
                  <c:v>1887.5899999999997</c:v>
                </c:pt>
                <c:pt idx="6">
                  <c:v>2274.8000000000002</c:v>
                </c:pt>
                <c:pt idx="7">
                  <c:v>2034.17</c:v>
                </c:pt>
                <c:pt idx="8">
                  <c:v>2034.3899999999999</c:v>
                </c:pt>
                <c:pt idx="9">
                  <c:v>2038.03</c:v>
                </c:pt>
                <c:pt idx="10">
                  <c:v>1928.2399999999998</c:v>
                </c:pt>
                <c:pt idx="11">
                  <c:v>1920.27</c:v>
                </c:pt>
                <c:pt idx="12">
                  <c:v>2119.86</c:v>
                </c:pt>
                <c:pt idx="13">
                  <c:v>2039.1699999999996</c:v>
                </c:pt>
                <c:pt idx="14">
                  <c:v>2143.13</c:v>
                </c:pt>
                <c:pt idx="15">
                  <c:v>2081.84</c:v>
                </c:pt>
                <c:pt idx="16">
                  <c:v>2238.1499999999996</c:v>
                </c:pt>
                <c:pt idx="17">
                  <c:v>2012.8400000000001</c:v>
                </c:pt>
                <c:pt idx="18">
                  <c:v>2014.89</c:v>
                </c:pt>
                <c:pt idx="19">
                  <c:v>2075.96</c:v>
                </c:pt>
                <c:pt idx="20">
                  <c:v>2149.4499999999998</c:v>
                </c:pt>
                <c:pt idx="21">
                  <c:v>2144.75</c:v>
                </c:pt>
                <c:pt idx="22">
                  <c:v>2042.4699999999998</c:v>
                </c:pt>
                <c:pt idx="23">
                  <c:v>2159.92</c:v>
                </c:pt>
                <c:pt idx="24">
                  <c:v>2462.73</c:v>
                </c:pt>
                <c:pt idx="25">
                  <c:v>2064.5700000000002</c:v>
                </c:pt>
                <c:pt idx="26">
                  <c:v>2314.2399999999998</c:v>
                </c:pt>
                <c:pt idx="27">
                  <c:v>2424.14</c:v>
                </c:pt>
                <c:pt idx="28">
                  <c:v>2216.7600000000002</c:v>
                </c:pt>
                <c:pt idx="29">
                  <c:v>2043.93</c:v>
                </c:pt>
                <c:pt idx="30">
                  <c:v>2118.9699999999998</c:v>
                </c:pt>
                <c:pt idx="31">
                  <c:v>2194.4399999999996</c:v>
                </c:pt>
                <c:pt idx="32">
                  <c:v>1818.9</c:v>
                </c:pt>
                <c:pt idx="33">
                  <c:v>2401.29</c:v>
                </c:pt>
                <c:pt idx="34">
                  <c:v>2222.5600000000004</c:v>
                </c:pt>
                <c:pt idx="35">
                  <c:v>1847.27</c:v>
                </c:pt>
                <c:pt idx="36">
                  <c:v>2028.1399999999999</c:v>
                </c:pt>
                <c:pt idx="37">
                  <c:v>2328.0500000000002</c:v>
                </c:pt>
                <c:pt idx="38">
                  <c:v>2217.64</c:v>
                </c:pt>
                <c:pt idx="39">
                  <c:v>2188.1</c:v>
                </c:pt>
                <c:pt idx="40">
                  <c:v>2154.9299999999998</c:v>
                </c:pt>
                <c:pt idx="41">
                  <c:v>1954.21</c:v>
                </c:pt>
                <c:pt idx="42">
                  <c:v>2203.8000000000002</c:v>
                </c:pt>
                <c:pt idx="43">
                  <c:v>2011.9899999999998</c:v>
                </c:pt>
                <c:pt idx="44">
                  <c:v>1991.6799999999998</c:v>
                </c:pt>
                <c:pt idx="45">
                  <c:v>2101.4899999999998</c:v>
                </c:pt>
                <c:pt idx="46">
                  <c:v>2255.5700000000002</c:v>
                </c:pt>
                <c:pt idx="47">
                  <c:v>2086.3200000000002</c:v>
                </c:pt>
                <c:pt idx="49">
                  <c:v>1876.7</c:v>
                </c:pt>
                <c:pt idx="50">
                  <c:v>1655.0600000000002</c:v>
                </c:pt>
                <c:pt idx="51">
                  <c:v>2042.78</c:v>
                </c:pt>
                <c:pt idx="52">
                  <c:v>1887.6999999999998</c:v>
                </c:pt>
                <c:pt idx="53">
                  <c:v>2081.4700000000003</c:v>
                </c:pt>
                <c:pt idx="54">
                  <c:v>1950.6599999999999</c:v>
                </c:pt>
                <c:pt idx="55">
                  <c:v>1945.46</c:v>
                </c:pt>
                <c:pt idx="56">
                  <c:v>2062.13</c:v>
                </c:pt>
                <c:pt idx="57">
                  <c:v>2089.2799999999997</c:v>
                </c:pt>
                <c:pt idx="58">
                  <c:v>2069.2999999999997</c:v>
                </c:pt>
                <c:pt idx="59">
                  <c:v>1926.7800000000002</c:v>
                </c:pt>
                <c:pt idx="60">
                  <c:v>1929.29</c:v>
                </c:pt>
                <c:pt idx="61">
                  <c:v>1996.0700000000002</c:v>
                </c:pt>
                <c:pt idx="62">
                  <c:v>2111.9499999999998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49-4FD9-A10A-2271CBC2B8B3}"/>
            </c:ext>
          </c:extLst>
        </c:ser>
        <c:ser>
          <c:idx val="2"/>
          <c:order val="2"/>
          <c:tx>
            <c:strRef>
              <c:f>img!$P$1</c:f>
              <c:strCache>
                <c:ptCount val="1"/>
                <c:pt idx="0">
                  <c:v>min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img!$H$2:$H$64</c:f>
              <c:numCache>
                <c:formatCode>General</c:formatCode>
                <c:ptCount val="63"/>
                <c:pt idx="0" formatCode="#,##0.0">
                  <c:v>97</c:v>
                </c:pt>
                <c:pt idx="1">
                  <c:v>99</c:v>
                </c:pt>
                <c:pt idx="2">
                  <c:v>101</c:v>
                </c:pt>
                <c:pt idx="3">
                  <c:v>102</c:v>
                </c:pt>
                <c:pt idx="4">
                  <c:v>104</c:v>
                </c:pt>
                <c:pt idx="5">
                  <c:v>106</c:v>
                </c:pt>
                <c:pt idx="6" formatCode="#,##0.0">
                  <c:v>107</c:v>
                </c:pt>
                <c:pt idx="7">
                  <c:v>107</c:v>
                </c:pt>
                <c:pt idx="8">
                  <c:v>108</c:v>
                </c:pt>
                <c:pt idx="9" formatCode="#,##0.0">
                  <c:v>109</c:v>
                </c:pt>
                <c:pt idx="10" formatCode="#,##0.0">
                  <c:v>111</c:v>
                </c:pt>
                <c:pt idx="11">
                  <c:v>113</c:v>
                </c:pt>
                <c:pt idx="12">
                  <c:v>113</c:v>
                </c:pt>
                <c:pt idx="13">
                  <c:v>117</c:v>
                </c:pt>
                <c:pt idx="14" formatCode="#,##0.0">
                  <c:v>117</c:v>
                </c:pt>
                <c:pt idx="15" formatCode="#,##0.0">
                  <c:v>121</c:v>
                </c:pt>
                <c:pt idx="16" formatCode="#,##0.0">
                  <c:v>105</c:v>
                </c:pt>
                <c:pt idx="17">
                  <c:v>110</c:v>
                </c:pt>
                <c:pt idx="18">
                  <c:v>112</c:v>
                </c:pt>
                <c:pt idx="19">
                  <c:v>113</c:v>
                </c:pt>
                <c:pt idx="20">
                  <c:v>114</c:v>
                </c:pt>
                <c:pt idx="21">
                  <c:v>115</c:v>
                </c:pt>
                <c:pt idx="22">
                  <c:v>116</c:v>
                </c:pt>
                <c:pt idx="23">
                  <c:v>117</c:v>
                </c:pt>
                <c:pt idx="24">
                  <c:v>118</c:v>
                </c:pt>
                <c:pt idx="25" formatCode="#,##0.0">
                  <c:v>120</c:v>
                </c:pt>
                <c:pt idx="26">
                  <c:v>121</c:v>
                </c:pt>
                <c:pt idx="27" formatCode="#,##0.0">
                  <c:v>121</c:v>
                </c:pt>
                <c:pt idx="28" formatCode="#,##0.0">
                  <c:v>122</c:v>
                </c:pt>
                <c:pt idx="29">
                  <c:v>124</c:v>
                </c:pt>
                <c:pt idx="30" formatCode="#,##0.0">
                  <c:v>132</c:v>
                </c:pt>
                <c:pt idx="31" formatCode="#,##0.0">
                  <c:v>133</c:v>
                </c:pt>
                <c:pt idx="32" formatCode="#,##0.0">
                  <c:v>99</c:v>
                </c:pt>
                <c:pt idx="33">
                  <c:v>101</c:v>
                </c:pt>
                <c:pt idx="34">
                  <c:v>104</c:v>
                </c:pt>
                <c:pt idx="35">
                  <c:v>106</c:v>
                </c:pt>
                <c:pt idx="36">
                  <c:v>107</c:v>
                </c:pt>
                <c:pt idx="37">
                  <c:v>107</c:v>
                </c:pt>
                <c:pt idx="38">
                  <c:v>109</c:v>
                </c:pt>
                <c:pt idx="39" formatCode="#,##0.0">
                  <c:v>111</c:v>
                </c:pt>
                <c:pt idx="40">
                  <c:v>111</c:v>
                </c:pt>
                <c:pt idx="41">
                  <c:v>112</c:v>
                </c:pt>
                <c:pt idx="42">
                  <c:v>113</c:v>
                </c:pt>
                <c:pt idx="43" formatCode="#,##0.0">
                  <c:v>117</c:v>
                </c:pt>
                <c:pt idx="44" formatCode="#,##0.0">
                  <c:v>117</c:v>
                </c:pt>
                <c:pt idx="45">
                  <c:v>120</c:v>
                </c:pt>
                <c:pt idx="46" formatCode="#,##0.0">
                  <c:v>121</c:v>
                </c:pt>
                <c:pt idx="47" formatCode="#,##0.0">
                  <c:v>126</c:v>
                </c:pt>
                <c:pt idx="48" formatCode="#,##0.0">
                  <c:v>75</c:v>
                </c:pt>
                <c:pt idx="49" formatCode="#,##0.0">
                  <c:v>84</c:v>
                </c:pt>
                <c:pt idx="50">
                  <c:v>86</c:v>
                </c:pt>
                <c:pt idx="51">
                  <c:v>86</c:v>
                </c:pt>
                <c:pt idx="52">
                  <c:v>87</c:v>
                </c:pt>
                <c:pt idx="53">
                  <c:v>88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91</c:v>
                </c:pt>
                <c:pt idx="58" formatCode="#,##0.0">
                  <c:v>93</c:v>
                </c:pt>
                <c:pt idx="59" formatCode="#,##0.0">
                  <c:v>93</c:v>
                </c:pt>
                <c:pt idx="60">
                  <c:v>93</c:v>
                </c:pt>
                <c:pt idx="61" formatCode="#,##0.0">
                  <c:v>95</c:v>
                </c:pt>
                <c:pt idx="62" formatCode="#,##0.0">
                  <c:v>99</c:v>
                </c:pt>
              </c:numCache>
            </c:numRef>
          </c:xVal>
          <c:yVal>
            <c:numRef>
              <c:f>img!$P$2:$P$64</c:f>
              <c:numCache>
                <c:formatCode>General</c:formatCode>
                <c:ptCount val="63"/>
                <c:pt idx="0">
                  <c:v>978.29</c:v>
                </c:pt>
                <c:pt idx="1">
                  <c:v>805.98</c:v>
                </c:pt>
                <c:pt idx="2">
                  <c:v>958.59</c:v>
                </c:pt>
                <c:pt idx="3">
                  <c:v>869.38</c:v>
                </c:pt>
                <c:pt idx="4">
                  <c:v>927.47</c:v>
                </c:pt>
                <c:pt idx="5">
                  <c:v>1079.4000000000001</c:v>
                </c:pt>
                <c:pt idx="6">
                  <c:v>802.6</c:v>
                </c:pt>
                <c:pt idx="7">
                  <c:v>980.08</c:v>
                </c:pt>
                <c:pt idx="8">
                  <c:v>882.42</c:v>
                </c:pt>
                <c:pt idx="9">
                  <c:v>826.05</c:v>
                </c:pt>
                <c:pt idx="10">
                  <c:v>920.98</c:v>
                </c:pt>
                <c:pt idx="11">
                  <c:v>1057.58</c:v>
                </c:pt>
                <c:pt idx="12">
                  <c:v>956.52</c:v>
                </c:pt>
                <c:pt idx="13">
                  <c:v>804.57</c:v>
                </c:pt>
                <c:pt idx="14">
                  <c:v>931.97</c:v>
                </c:pt>
                <c:pt idx="15">
                  <c:v>805.2</c:v>
                </c:pt>
                <c:pt idx="16">
                  <c:v>767.7</c:v>
                </c:pt>
                <c:pt idx="17">
                  <c:v>1000.92</c:v>
                </c:pt>
                <c:pt idx="18">
                  <c:v>996.97</c:v>
                </c:pt>
                <c:pt idx="19">
                  <c:v>937.82</c:v>
                </c:pt>
                <c:pt idx="20">
                  <c:v>854.75</c:v>
                </c:pt>
                <c:pt idx="21">
                  <c:v>869</c:v>
                </c:pt>
                <c:pt idx="22">
                  <c:v>968.57</c:v>
                </c:pt>
                <c:pt idx="23">
                  <c:v>853.92</c:v>
                </c:pt>
                <c:pt idx="24">
                  <c:v>550.46</c:v>
                </c:pt>
                <c:pt idx="25">
                  <c:v>907.46</c:v>
                </c:pt>
                <c:pt idx="26">
                  <c:v>697.72</c:v>
                </c:pt>
                <c:pt idx="27">
                  <c:v>588.1</c:v>
                </c:pt>
                <c:pt idx="28">
                  <c:v>794.89</c:v>
                </c:pt>
                <c:pt idx="29">
                  <c:v>967.53</c:v>
                </c:pt>
                <c:pt idx="30">
                  <c:v>844.9</c:v>
                </c:pt>
                <c:pt idx="31">
                  <c:v>815.55</c:v>
                </c:pt>
                <c:pt idx="32">
                  <c:v>1114.17</c:v>
                </c:pt>
                <c:pt idx="33">
                  <c:v>650.91</c:v>
                </c:pt>
                <c:pt idx="34">
                  <c:v>870.7</c:v>
                </c:pt>
                <c:pt idx="35">
                  <c:v>1245.79</c:v>
                </c:pt>
                <c:pt idx="36">
                  <c:v>944.04</c:v>
                </c:pt>
                <c:pt idx="37">
                  <c:v>764.1</c:v>
                </c:pt>
                <c:pt idx="38">
                  <c:v>877.6</c:v>
                </c:pt>
                <c:pt idx="39">
                  <c:v>861.94</c:v>
                </c:pt>
                <c:pt idx="40">
                  <c:v>937.84</c:v>
                </c:pt>
                <c:pt idx="41">
                  <c:v>954.88</c:v>
                </c:pt>
                <c:pt idx="42">
                  <c:v>889.04</c:v>
                </c:pt>
                <c:pt idx="43">
                  <c:v>874.75</c:v>
                </c:pt>
                <c:pt idx="44">
                  <c:v>963.4</c:v>
                </c:pt>
                <c:pt idx="45">
                  <c:v>947.15</c:v>
                </c:pt>
                <c:pt idx="46">
                  <c:v>836.12</c:v>
                </c:pt>
                <c:pt idx="47">
                  <c:v>860.19</c:v>
                </c:pt>
                <c:pt idx="49">
                  <c:v>901.78</c:v>
                </c:pt>
                <c:pt idx="50">
                  <c:v>1116.1099999999999</c:v>
                </c:pt>
                <c:pt idx="51">
                  <c:v>979.78</c:v>
                </c:pt>
                <c:pt idx="52">
                  <c:v>1001.27</c:v>
                </c:pt>
                <c:pt idx="53">
                  <c:v>654.24</c:v>
                </c:pt>
                <c:pt idx="54">
                  <c:v>960</c:v>
                </c:pt>
                <c:pt idx="55">
                  <c:v>890.08</c:v>
                </c:pt>
                <c:pt idx="56">
                  <c:v>825.71</c:v>
                </c:pt>
                <c:pt idx="57">
                  <c:v>704.47</c:v>
                </c:pt>
                <c:pt idx="58">
                  <c:v>779.67</c:v>
                </c:pt>
                <c:pt idx="59">
                  <c:v>921.04</c:v>
                </c:pt>
                <c:pt idx="60">
                  <c:v>841.25</c:v>
                </c:pt>
                <c:pt idx="61">
                  <c:v>888.52</c:v>
                </c:pt>
                <c:pt idx="62">
                  <c:v>767.24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7C-4422-9F17-CACFE18D3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855008"/>
        <c:axId val="488853368"/>
      </c:scatterChart>
      <c:valAx>
        <c:axId val="488855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3368"/>
        <c:crosses val="autoZero"/>
        <c:crossBetween val="midCat"/>
      </c:valAx>
      <c:valAx>
        <c:axId val="488853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5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Finger</a:t>
            </a:r>
            <a:r>
              <a:rPr lang="en-GB" baseline="0"/>
              <a:t> split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img!$AG$1</c:f>
              <c:strCache>
                <c:ptCount val="1"/>
                <c:pt idx="0">
                  <c:v>Smin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img!$AG$2:$AG$64</c:f>
              <c:numCache>
                <c:formatCode>General</c:formatCode>
                <c:ptCount val="63"/>
                <c:pt idx="0">
                  <c:v>1885.13</c:v>
                </c:pt>
                <c:pt idx="1">
                  <c:v>1873</c:v>
                </c:pt>
                <c:pt idx="2">
                  <c:v>1877.99</c:v>
                </c:pt>
                <c:pt idx="3">
                  <c:v>1879.89</c:v>
                </c:pt>
                <c:pt idx="4">
                  <c:v>1882.9</c:v>
                </c:pt>
                <c:pt idx="5">
                  <c:v>1884.43</c:v>
                </c:pt>
                <c:pt idx="6">
                  <c:v>1878.73</c:v>
                </c:pt>
                <c:pt idx="7">
                  <c:v>1877.99</c:v>
                </c:pt>
                <c:pt idx="8">
                  <c:v>1893.59</c:v>
                </c:pt>
                <c:pt idx="9">
                  <c:v>1880.4</c:v>
                </c:pt>
                <c:pt idx="10">
                  <c:v>1888</c:v>
                </c:pt>
                <c:pt idx="11">
                  <c:v>1885.82</c:v>
                </c:pt>
                <c:pt idx="12">
                  <c:v>1892.44</c:v>
                </c:pt>
                <c:pt idx="13">
                  <c:v>1887.36</c:v>
                </c:pt>
                <c:pt idx="14">
                  <c:v>1889.28</c:v>
                </c:pt>
                <c:pt idx="15">
                  <c:v>1891.63</c:v>
                </c:pt>
                <c:pt idx="16">
                  <c:v>1946.01</c:v>
                </c:pt>
                <c:pt idx="17">
                  <c:v>1708.81</c:v>
                </c:pt>
                <c:pt idx="18">
                  <c:v>1756.06</c:v>
                </c:pt>
                <c:pt idx="19">
                  <c:v>1863.92</c:v>
                </c:pt>
                <c:pt idx="20">
                  <c:v>1616.8</c:v>
                </c:pt>
                <c:pt idx="21">
                  <c:v>1810.33</c:v>
                </c:pt>
                <c:pt idx="22">
                  <c:v>1866.55</c:v>
                </c:pt>
                <c:pt idx="23">
                  <c:v>1718.27</c:v>
                </c:pt>
                <c:pt idx="24">
                  <c:v>2021.21</c:v>
                </c:pt>
                <c:pt idx="25">
                  <c:v>1820.54</c:v>
                </c:pt>
                <c:pt idx="26">
                  <c:v>1973.39</c:v>
                </c:pt>
                <c:pt idx="27">
                  <c:v>1970.06</c:v>
                </c:pt>
                <c:pt idx="28">
                  <c:v>1721.48</c:v>
                </c:pt>
                <c:pt idx="29">
                  <c:v>1804.47</c:v>
                </c:pt>
                <c:pt idx="30">
                  <c:v>1773.47</c:v>
                </c:pt>
                <c:pt idx="31">
                  <c:v>1860.52</c:v>
                </c:pt>
                <c:pt idx="32">
                  <c:v>2010.77</c:v>
                </c:pt>
                <c:pt idx="33">
                  <c:v>1840.49</c:v>
                </c:pt>
                <c:pt idx="34">
                  <c:v>2089.64</c:v>
                </c:pt>
                <c:pt idx="35">
                  <c:v>1814.1</c:v>
                </c:pt>
                <c:pt idx="36">
                  <c:v>1979.31</c:v>
                </c:pt>
                <c:pt idx="37">
                  <c:v>2127.7199999999998</c:v>
                </c:pt>
                <c:pt idx="38">
                  <c:v>1960.96</c:v>
                </c:pt>
                <c:pt idx="39">
                  <c:v>1785.31</c:v>
                </c:pt>
                <c:pt idx="40">
                  <c:v>2016.97</c:v>
                </c:pt>
                <c:pt idx="41">
                  <c:v>1855.34</c:v>
                </c:pt>
                <c:pt idx="42">
                  <c:v>2117.37</c:v>
                </c:pt>
                <c:pt idx="43">
                  <c:v>2021.62</c:v>
                </c:pt>
                <c:pt idx="44">
                  <c:v>2086.61</c:v>
                </c:pt>
                <c:pt idx="45">
                  <c:v>2088.56</c:v>
                </c:pt>
                <c:pt idx="46">
                  <c:v>2090.17</c:v>
                </c:pt>
                <c:pt idx="47">
                  <c:v>1960.64</c:v>
                </c:pt>
                <c:pt idx="48">
                  <c:v>1823.57</c:v>
                </c:pt>
                <c:pt idx="49">
                  <c:v>1480.79</c:v>
                </c:pt>
                <c:pt idx="50">
                  <c:v>1573.65</c:v>
                </c:pt>
                <c:pt idx="51">
                  <c:v>1500.26</c:v>
                </c:pt>
                <c:pt idx="52">
                  <c:v>1713</c:v>
                </c:pt>
                <c:pt idx="53">
                  <c:v>1785.36</c:v>
                </c:pt>
                <c:pt idx="54">
                  <c:v>2047.34</c:v>
                </c:pt>
                <c:pt idx="55">
                  <c:v>1702.39</c:v>
                </c:pt>
                <c:pt idx="56">
                  <c:v>1640.91</c:v>
                </c:pt>
                <c:pt idx="57">
                  <c:v>1786.22</c:v>
                </c:pt>
                <c:pt idx="58">
                  <c:v>1742.59</c:v>
                </c:pt>
                <c:pt idx="59">
                  <c:v>1747.6</c:v>
                </c:pt>
                <c:pt idx="60">
                  <c:v>1690.67</c:v>
                </c:pt>
                <c:pt idx="61">
                  <c:v>1869.59</c:v>
                </c:pt>
                <c:pt idx="62">
                  <c:v>1794.82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10-4F78-BD37-6E4AC444E515}"/>
            </c:ext>
          </c:extLst>
        </c:ser>
        <c:ser>
          <c:idx val="1"/>
          <c:order val="1"/>
          <c:tx>
            <c:strRef>
              <c:f>img!$AH$1</c:f>
              <c:strCache>
                <c:ptCount val="1"/>
                <c:pt idx="0">
                  <c:v>Smax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img!$AH$2:$AH$64</c:f>
              <c:numCache>
                <c:formatCode>General</c:formatCode>
                <c:ptCount val="63"/>
                <c:pt idx="0">
                  <c:v>2441.6799999999998</c:v>
                </c:pt>
                <c:pt idx="1">
                  <c:v>2066.15</c:v>
                </c:pt>
                <c:pt idx="2">
                  <c:v>1969.32</c:v>
                </c:pt>
                <c:pt idx="3">
                  <c:v>2331.9299999999998</c:v>
                </c:pt>
                <c:pt idx="4">
                  <c:v>2195.4299999999998</c:v>
                </c:pt>
                <c:pt idx="5">
                  <c:v>2150.9</c:v>
                </c:pt>
                <c:pt idx="6">
                  <c:v>2339.2600000000002</c:v>
                </c:pt>
                <c:pt idx="7">
                  <c:v>2047.09</c:v>
                </c:pt>
                <c:pt idx="8">
                  <c:v>2241.83</c:v>
                </c:pt>
                <c:pt idx="9">
                  <c:v>2311.2199999999998</c:v>
                </c:pt>
                <c:pt idx="10">
                  <c:v>2411.73</c:v>
                </c:pt>
                <c:pt idx="11">
                  <c:v>2077.9899999999998</c:v>
                </c:pt>
                <c:pt idx="12">
                  <c:v>2275.89</c:v>
                </c:pt>
                <c:pt idx="13">
                  <c:v>2172.73</c:v>
                </c:pt>
                <c:pt idx="14">
                  <c:v>2307.36</c:v>
                </c:pt>
                <c:pt idx="15">
                  <c:v>2094.66</c:v>
                </c:pt>
                <c:pt idx="16">
                  <c:v>2122.3200000000002</c:v>
                </c:pt>
                <c:pt idx="17">
                  <c:v>2071.5300000000002</c:v>
                </c:pt>
                <c:pt idx="18">
                  <c:v>2175</c:v>
                </c:pt>
                <c:pt idx="19">
                  <c:v>2191.7399999999998</c:v>
                </c:pt>
                <c:pt idx="20">
                  <c:v>2075.0700000000002</c:v>
                </c:pt>
                <c:pt idx="21">
                  <c:v>2131.44</c:v>
                </c:pt>
                <c:pt idx="22">
                  <c:v>2179.9</c:v>
                </c:pt>
                <c:pt idx="23">
                  <c:v>2074.94</c:v>
                </c:pt>
                <c:pt idx="24">
                  <c:v>2172.77</c:v>
                </c:pt>
                <c:pt idx="25">
                  <c:v>2264.9</c:v>
                </c:pt>
                <c:pt idx="26">
                  <c:v>2145.34</c:v>
                </c:pt>
                <c:pt idx="27">
                  <c:v>2099.11</c:v>
                </c:pt>
                <c:pt idx="28">
                  <c:v>2064.91</c:v>
                </c:pt>
                <c:pt idx="29">
                  <c:v>2143.08</c:v>
                </c:pt>
                <c:pt idx="30">
                  <c:v>2157.6799999999998</c:v>
                </c:pt>
                <c:pt idx="31">
                  <c:v>2336.9499999999998</c:v>
                </c:pt>
                <c:pt idx="32">
                  <c:v>2356.11</c:v>
                </c:pt>
                <c:pt idx="33">
                  <c:v>2408.4699999999998</c:v>
                </c:pt>
                <c:pt idx="34">
                  <c:v>2333.75</c:v>
                </c:pt>
                <c:pt idx="35">
                  <c:v>2383.08</c:v>
                </c:pt>
                <c:pt idx="36">
                  <c:v>2343.9299999999998</c:v>
                </c:pt>
                <c:pt idx="37">
                  <c:v>2411.0500000000002</c:v>
                </c:pt>
                <c:pt idx="38">
                  <c:v>2381.1</c:v>
                </c:pt>
                <c:pt idx="39">
                  <c:v>2185.85</c:v>
                </c:pt>
                <c:pt idx="40">
                  <c:v>2353.14</c:v>
                </c:pt>
                <c:pt idx="41">
                  <c:v>2380.67</c:v>
                </c:pt>
                <c:pt idx="42">
                  <c:v>2386.52</c:v>
                </c:pt>
                <c:pt idx="43">
                  <c:v>2367.02</c:v>
                </c:pt>
                <c:pt idx="44">
                  <c:v>2394</c:v>
                </c:pt>
                <c:pt idx="45">
                  <c:v>2370.3000000000002</c:v>
                </c:pt>
                <c:pt idx="46">
                  <c:v>2409.15</c:v>
                </c:pt>
                <c:pt idx="47">
                  <c:v>2360.61</c:v>
                </c:pt>
                <c:pt idx="48">
                  <c:v>2356.02</c:v>
                </c:pt>
                <c:pt idx="49">
                  <c:v>2304.48</c:v>
                </c:pt>
                <c:pt idx="50">
                  <c:v>2368.02</c:v>
                </c:pt>
                <c:pt idx="51">
                  <c:v>2350.0100000000002</c:v>
                </c:pt>
                <c:pt idx="52">
                  <c:v>2395.81</c:v>
                </c:pt>
                <c:pt idx="53">
                  <c:v>2388.9499999999998</c:v>
                </c:pt>
                <c:pt idx="54">
                  <c:v>2386.73</c:v>
                </c:pt>
                <c:pt idx="55">
                  <c:v>2390.98</c:v>
                </c:pt>
                <c:pt idx="56">
                  <c:v>2363.4299999999998</c:v>
                </c:pt>
                <c:pt idx="57">
                  <c:v>2397.4899999999998</c:v>
                </c:pt>
                <c:pt idx="58">
                  <c:v>2369.0500000000002</c:v>
                </c:pt>
                <c:pt idx="59">
                  <c:v>2398.1999999999998</c:v>
                </c:pt>
                <c:pt idx="60">
                  <c:v>2399.25</c:v>
                </c:pt>
                <c:pt idx="61">
                  <c:v>2401.38</c:v>
                </c:pt>
                <c:pt idx="62">
                  <c:v>2367.66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10-4F78-BD37-6E4AC444E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175384"/>
        <c:axId val="683173744"/>
      </c:scatterChart>
      <c:valAx>
        <c:axId val="683175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173744"/>
        <c:crosses val="autoZero"/>
        <c:crossBetween val="midCat"/>
      </c:valAx>
      <c:valAx>
        <c:axId val="68317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175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img!$H$50:$H$64</c:f>
              <c:numCache>
                <c:formatCode>#,##0.0</c:formatCode>
                <c:ptCount val="15"/>
                <c:pt idx="0">
                  <c:v>75</c:v>
                </c:pt>
                <c:pt idx="1">
                  <c:v>84</c:v>
                </c:pt>
                <c:pt idx="2" formatCode="General">
                  <c:v>86</c:v>
                </c:pt>
                <c:pt idx="3" formatCode="General">
                  <c:v>86</c:v>
                </c:pt>
                <c:pt idx="4" formatCode="General">
                  <c:v>87</c:v>
                </c:pt>
                <c:pt idx="5" formatCode="General">
                  <c:v>88</c:v>
                </c:pt>
                <c:pt idx="6" formatCode="General">
                  <c:v>89</c:v>
                </c:pt>
                <c:pt idx="7" formatCode="General">
                  <c:v>89</c:v>
                </c:pt>
                <c:pt idx="8" formatCode="General">
                  <c:v>89</c:v>
                </c:pt>
                <c:pt idx="9" formatCode="General">
                  <c:v>91</c:v>
                </c:pt>
                <c:pt idx="10">
                  <c:v>93</c:v>
                </c:pt>
                <c:pt idx="11">
                  <c:v>93</c:v>
                </c:pt>
                <c:pt idx="12" formatCode="General">
                  <c:v>93</c:v>
                </c:pt>
                <c:pt idx="13">
                  <c:v>95</c:v>
                </c:pt>
                <c:pt idx="14">
                  <c:v>99</c:v>
                </c:pt>
              </c:numCache>
            </c:numRef>
          </c:xVal>
          <c:yVal>
            <c:numRef>
              <c:f>img!$P$50:$P$64</c:f>
              <c:numCache>
                <c:formatCode>General</c:formatCode>
                <c:ptCount val="15"/>
                <c:pt idx="1">
                  <c:v>901.78</c:v>
                </c:pt>
                <c:pt idx="2">
                  <c:v>1116.1099999999999</c:v>
                </c:pt>
                <c:pt idx="3">
                  <c:v>979.78</c:v>
                </c:pt>
                <c:pt idx="4">
                  <c:v>1001.27</c:v>
                </c:pt>
                <c:pt idx="5">
                  <c:v>654.24</c:v>
                </c:pt>
                <c:pt idx="6">
                  <c:v>960</c:v>
                </c:pt>
                <c:pt idx="7">
                  <c:v>890.08</c:v>
                </c:pt>
                <c:pt idx="8">
                  <c:v>825.71</c:v>
                </c:pt>
                <c:pt idx="9">
                  <c:v>704.47</c:v>
                </c:pt>
                <c:pt idx="10">
                  <c:v>779.67</c:v>
                </c:pt>
                <c:pt idx="11">
                  <c:v>921.04</c:v>
                </c:pt>
                <c:pt idx="12">
                  <c:v>841.25</c:v>
                </c:pt>
                <c:pt idx="13">
                  <c:v>888.52</c:v>
                </c:pt>
                <c:pt idx="14">
                  <c:v>767.24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CF-4877-AD68-2A98D25BC4A3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img!$H$50:$H$64</c:f>
              <c:numCache>
                <c:formatCode>#,##0.0</c:formatCode>
                <c:ptCount val="15"/>
                <c:pt idx="0">
                  <c:v>75</c:v>
                </c:pt>
                <c:pt idx="1">
                  <c:v>84</c:v>
                </c:pt>
                <c:pt idx="2" formatCode="General">
                  <c:v>86</c:v>
                </c:pt>
                <c:pt idx="3" formatCode="General">
                  <c:v>86</c:v>
                </c:pt>
                <c:pt idx="4" formatCode="General">
                  <c:v>87</c:v>
                </c:pt>
                <c:pt idx="5" formatCode="General">
                  <c:v>88</c:v>
                </c:pt>
                <c:pt idx="6" formatCode="General">
                  <c:v>89</c:v>
                </c:pt>
                <c:pt idx="7" formatCode="General">
                  <c:v>89</c:v>
                </c:pt>
                <c:pt idx="8" formatCode="General">
                  <c:v>89</c:v>
                </c:pt>
                <c:pt idx="9" formatCode="General">
                  <c:v>91</c:v>
                </c:pt>
                <c:pt idx="10">
                  <c:v>93</c:v>
                </c:pt>
                <c:pt idx="11">
                  <c:v>93</c:v>
                </c:pt>
                <c:pt idx="12" formatCode="General">
                  <c:v>93</c:v>
                </c:pt>
                <c:pt idx="13">
                  <c:v>95</c:v>
                </c:pt>
                <c:pt idx="14">
                  <c:v>99</c:v>
                </c:pt>
              </c:numCache>
            </c:numRef>
          </c:xVal>
          <c:yVal>
            <c:numRef>
              <c:f>img!$Q$50:$Q$64</c:f>
              <c:numCache>
                <c:formatCode>General</c:formatCode>
                <c:ptCount val="15"/>
                <c:pt idx="1">
                  <c:v>2778.48</c:v>
                </c:pt>
                <c:pt idx="2">
                  <c:v>2771.17</c:v>
                </c:pt>
                <c:pt idx="3">
                  <c:v>3022.56</c:v>
                </c:pt>
                <c:pt idx="4">
                  <c:v>2888.97</c:v>
                </c:pt>
                <c:pt idx="5">
                  <c:v>2735.71</c:v>
                </c:pt>
                <c:pt idx="6">
                  <c:v>2910.66</c:v>
                </c:pt>
                <c:pt idx="7">
                  <c:v>2835.54</c:v>
                </c:pt>
                <c:pt idx="8">
                  <c:v>2887.84</c:v>
                </c:pt>
                <c:pt idx="9">
                  <c:v>2793.75</c:v>
                </c:pt>
                <c:pt idx="10">
                  <c:v>2848.97</c:v>
                </c:pt>
                <c:pt idx="11">
                  <c:v>2847.82</c:v>
                </c:pt>
                <c:pt idx="12">
                  <c:v>2770.54</c:v>
                </c:pt>
                <c:pt idx="13">
                  <c:v>2884.59</c:v>
                </c:pt>
                <c:pt idx="14">
                  <c:v>2879.19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CF-4877-AD68-2A98D25BC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948984"/>
        <c:axId val="728949312"/>
      </c:scatterChart>
      <c:valAx>
        <c:axId val="728948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49312"/>
        <c:crosses val="autoZero"/>
        <c:crossBetween val="midCat"/>
      </c:valAx>
      <c:valAx>
        <c:axId val="72894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48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Fmin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img!$H$34:$H$40</c:f>
              <c:numCache>
                <c:formatCode>General</c:formatCode>
                <c:ptCount val="7"/>
                <c:pt idx="0" formatCode="#,##0.0">
                  <c:v>99</c:v>
                </c:pt>
                <c:pt idx="1">
                  <c:v>101</c:v>
                </c:pt>
                <c:pt idx="2">
                  <c:v>104</c:v>
                </c:pt>
                <c:pt idx="3">
                  <c:v>106</c:v>
                </c:pt>
                <c:pt idx="4">
                  <c:v>107</c:v>
                </c:pt>
                <c:pt idx="5">
                  <c:v>107</c:v>
                </c:pt>
                <c:pt idx="6">
                  <c:v>109</c:v>
                </c:pt>
              </c:numCache>
            </c:numRef>
          </c:xVal>
          <c:yVal>
            <c:numRef>
              <c:f>img!$P$34:$P$40</c:f>
              <c:numCache>
                <c:formatCode>General</c:formatCode>
                <c:ptCount val="7"/>
                <c:pt idx="0">
                  <c:v>1114.17</c:v>
                </c:pt>
                <c:pt idx="1">
                  <c:v>650.91</c:v>
                </c:pt>
                <c:pt idx="2">
                  <c:v>870.7</c:v>
                </c:pt>
                <c:pt idx="3">
                  <c:v>1245.79</c:v>
                </c:pt>
                <c:pt idx="4">
                  <c:v>944.04</c:v>
                </c:pt>
                <c:pt idx="5">
                  <c:v>764.1</c:v>
                </c:pt>
                <c:pt idx="6">
                  <c:v>877.6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E7-4B3B-B6CB-D8B805C7550F}"/>
            </c:ext>
          </c:extLst>
        </c:ser>
        <c:ser>
          <c:idx val="1"/>
          <c:order val="1"/>
          <c:tx>
            <c:v>Fmax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img!$H$34:$H$40</c:f>
              <c:numCache>
                <c:formatCode>General</c:formatCode>
                <c:ptCount val="7"/>
                <c:pt idx="0" formatCode="#,##0.0">
                  <c:v>99</c:v>
                </c:pt>
                <c:pt idx="1">
                  <c:v>101</c:v>
                </c:pt>
                <c:pt idx="2">
                  <c:v>104</c:v>
                </c:pt>
                <c:pt idx="3">
                  <c:v>106</c:v>
                </c:pt>
                <c:pt idx="4">
                  <c:v>107</c:v>
                </c:pt>
                <c:pt idx="5">
                  <c:v>107</c:v>
                </c:pt>
                <c:pt idx="6">
                  <c:v>109</c:v>
                </c:pt>
              </c:numCache>
            </c:numRef>
          </c:xVal>
          <c:yVal>
            <c:numRef>
              <c:f>img!$Q$34:$Q$40</c:f>
              <c:numCache>
                <c:formatCode>General</c:formatCode>
                <c:ptCount val="7"/>
                <c:pt idx="0">
                  <c:v>2933.07</c:v>
                </c:pt>
                <c:pt idx="1">
                  <c:v>3052.2</c:v>
                </c:pt>
                <c:pt idx="2">
                  <c:v>3093.26</c:v>
                </c:pt>
                <c:pt idx="3">
                  <c:v>3093.06</c:v>
                </c:pt>
                <c:pt idx="4">
                  <c:v>2972.18</c:v>
                </c:pt>
                <c:pt idx="5">
                  <c:v>3092.15</c:v>
                </c:pt>
                <c:pt idx="6">
                  <c:v>3095.24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E7-4B3B-B6CB-D8B805C7550F}"/>
            </c:ext>
          </c:extLst>
        </c:ser>
        <c:ser>
          <c:idx val="2"/>
          <c:order val="2"/>
          <c:tx>
            <c:v>Mmin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img!$H$41:$H$49</c:f>
              <c:numCache>
                <c:formatCode>General</c:formatCode>
                <c:ptCount val="9"/>
                <c:pt idx="0" formatCode="#,##0.0">
                  <c:v>111</c:v>
                </c:pt>
                <c:pt idx="1">
                  <c:v>111</c:v>
                </c:pt>
                <c:pt idx="2">
                  <c:v>112</c:v>
                </c:pt>
                <c:pt idx="3">
                  <c:v>113</c:v>
                </c:pt>
                <c:pt idx="4" formatCode="#,##0.0">
                  <c:v>117</c:v>
                </c:pt>
                <c:pt idx="5" formatCode="#,##0.0">
                  <c:v>117</c:v>
                </c:pt>
                <c:pt idx="6">
                  <c:v>120</c:v>
                </c:pt>
                <c:pt idx="7" formatCode="#,##0.0">
                  <c:v>121</c:v>
                </c:pt>
                <c:pt idx="8" formatCode="#,##0.0">
                  <c:v>126</c:v>
                </c:pt>
              </c:numCache>
            </c:numRef>
          </c:xVal>
          <c:yVal>
            <c:numRef>
              <c:f>img!$P$41:$P$49</c:f>
              <c:numCache>
                <c:formatCode>General</c:formatCode>
                <c:ptCount val="9"/>
                <c:pt idx="0">
                  <c:v>861.94</c:v>
                </c:pt>
                <c:pt idx="1">
                  <c:v>937.84</c:v>
                </c:pt>
                <c:pt idx="2">
                  <c:v>954.88</c:v>
                </c:pt>
                <c:pt idx="3">
                  <c:v>889.04</c:v>
                </c:pt>
                <c:pt idx="4">
                  <c:v>874.75</c:v>
                </c:pt>
                <c:pt idx="5">
                  <c:v>963.4</c:v>
                </c:pt>
                <c:pt idx="6">
                  <c:v>947.15</c:v>
                </c:pt>
                <c:pt idx="7">
                  <c:v>836.12</c:v>
                </c:pt>
                <c:pt idx="8">
                  <c:v>860.19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E7-4B3B-B6CB-D8B805C7550F}"/>
            </c:ext>
          </c:extLst>
        </c:ser>
        <c:ser>
          <c:idx val="3"/>
          <c:order val="3"/>
          <c:tx>
            <c:v>Mmax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img!$H$41:$H$49</c:f>
              <c:numCache>
                <c:formatCode>General</c:formatCode>
                <c:ptCount val="9"/>
                <c:pt idx="0" formatCode="#,##0.0">
                  <c:v>111</c:v>
                </c:pt>
                <c:pt idx="1">
                  <c:v>111</c:v>
                </c:pt>
                <c:pt idx="2">
                  <c:v>112</c:v>
                </c:pt>
                <c:pt idx="3">
                  <c:v>113</c:v>
                </c:pt>
                <c:pt idx="4" formatCode="#,##0.0">
                  <c:v>117</c:v>
                </c:pt>
                <c:pt idx="5" formatCode="#,##0.0">
                  <c:v>117</c:v>
                </c:pt>
                <c:pt idx="6">
                  <c:v>120</c:v>
                </c:pt>
                <c:pt idx="7" formatCode="#,##0.0">
                  <c:v>121</c:v>
                </c:pt>
                <c:pt idx="8" formatCode="#,##0.0">
                  <c:v>126</c:v>
                </c:pt>
              </c:numCache>
            </c:numRef>
          </c:xVal>
          <c:yVal>
            <c:numRef>
              <c:f>img!$Q$41:$Q$49</c:f>
              <c:numCache>
                <c:formatCode>General</c:formatCode>
                <c:ptCount val="9"/>
                <c:pt idx="0">
                  <c:v>3050.04</c:v>
                </c:pt>
                <c:pt idx="1">
                  <c:v>3092.77</c:v>
                </c:pt>
                <c:pt idx="2">
                  <c:v>2909.09</c:v>
                </c:pt>
                <c:pt idx="3">
                  <c:v>3092.84</c:v>
                </c:pt>
                <c:pt idx="4">
                  <c:v>2886.74</c:v>
                </c:pt>
                <c:pt idx="5">
                  <c:v>2955.08</c:v>
                </c:pt>
                <c:pt idx="6">
                  <c:v>3048.64</c:v>
                </c:pt>
                <c:pt idx="7">
                  <c:v>3091.69</c:v>
                </c:pt>
                <c:pt idx="8">
                  <c:v>2946.51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E7-4B3B-B6CB-D8B805C75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255648"/>
        <c:axId val="501255976"/>
      </c:scatterChart>
      <c:valAx>
        <c:axId val="501255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255976"/>
        <c:crosses val="autoZero"/>
        <c:crossBetween val="midCat"/>
      </c:valAx>
      <c:valAx>
        <c:axId val="501255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255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Fmin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img!$H$18:$H$24</c:f>
              <c:numCache>
                <c:formatCode>General</c:formatCode>
                <c:ptCount val="7"/>
                <c:pt idx="0" formatCode="#,##0.0">
                  <c:v>105</c:v>
                </c:pt>
                <c:pt idx="1">
                  <c:v>110</c:v>
                </c:pt>
                <c:pt idx="2">
                  <c:v>112</c:v>
                </c:pt>
                <c:pt idx="3">
                  <c:v>113</c:v>
                </c:pt>
                <c:pt idx="4">
                  <c:v>114</c:v>
                </c:pt>
                <c:pt idx="5">
                  <c:v>115</c:v>
                </c:pt>
                <c:pt idx="6">
                  <c:v>116</c:v>
                </c:pt>
              </c:numCache>
            </c:numRef>
          </c:xVal>
          <c:yVal>
            <c:numRef>
              <c:f>img!$P$18:$P$24</c:f>
              <c:numCache>
                <c:formatCode>General</c:formatCode>
                <c:ptCount val="7"/>
                <c:pt idx="0">
                  <c:v>767.7</c:v>
                </c:pt>
                <c:pt idx="1">
                  <c:v>1000.92</c:v>
                </c:pt>
                <c:pt idx="2">
                  <c:v>996.97</c:v>
                </c:pt>
                <c:pt idx="3">
                  <c:v>937.82</c:v>
                </c:pt>
                <c:pt idx="4">
                  <c:v>854.75</c:v>
                </c:pt>
                <c:pt idx="5">
                  <c:v>869</c:v>
                </c:pt>
                <c:pt idx="6">
                  <c:v>968.57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15-4547-AAEA-2904FB359ED6}"/>
            </c:ext>
          </c:extLst>
        </c:ser>
        <c:ser>
          <c:idx val="1"/>
          <c:order val="1"/>
          <c:tx>
            <c:v>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img!$H$18:$H$33</c:f>
              <c:numCache>
                <c:formatCode>General</c:formatCode>
                <c:ptCount val="16"/>
                <c:pt idx="0" formatCode="#,##0.0">
                  <c:v>105</c:v>
                </c:pt>
                <c:pt idx="1">
                  <c:v>110</c:v>
                </c:pt>
                <c:pt idx="2">
                  <c:v>112</c:v>
                </c:pt>
                <c:pt idx="3">
                  <c:v>113</c:v>
                </c:pt>
                <c:pt idx="4">
                  <c:v>114</c:v>
                </c:pt>
                <c:pt idx="5">
                  <c:v>115</c:v>
                </c:pt>
                <c:pt idx="6">
                  <c:v>116</c:v>
                </c:pt>
                <c:pt idx="7">
                  <c:v>117</c:v>
                </c:pt>
                <c:pt idx="8">
                  <c:v>118</c:v>
                </c:pt>
                <c:pt idx="9" formatCode="#,##0.0">
                  <c:v>120</c:v>
                </c:pt>
                <c:pt idx="10">
                  <c:v>121</c:v>
                </c:pt>
                <c:pt idx="11" formatCode="#,##0.0">
                  <c:v>121</c:v>
                </c:pt>
                <c:pt idx="12" formatCode="#,##0.0">
                  <c:v>122</c:v>
                </c:pt>
                <c:pt idx="13">
                  <c:v>124</c:v>
                </c:pt>
                <c:pt idx="14" formatCode="#,##0.0">
                  <c:v>132</c:v>
                </c:pt>
                <c:pt idx="15" formatCode="#,##0.0">
                  <c:v>133</c:v>
                </c:pt>
              </c:numCache>
            </c:numRef>
          </c:xVal>
          <c:yVal>
            <c:numRef>
              <c:f>img!$Q$18:$Q$33</c:f>
              <c:numCache>
                <c:formatCode>General</c:formatCode>
                <c:ptCount val="16"/>
                <c:pt idx="0">
                  <c:v>3005.85</c:v>
                </c:pt>
                <c:pt idx="1">
                  <c:v>3013.76</c:v>
                </c:pt>
                <c:pt idx="2">
                  <c:v>3011.86</c:v>
                </c:pt>
                <c:pt idx="3">
                  <c:v>3013.78</c:v>
                </c:pt>
                <c:pt idx="4">
                  <c:v>3004.2</c:v>
                </c:pt>
                <c:pt idx="5">
                  <c:v>3013.75</c:v>
                </c:pt>
                <c:pt idx="6">
                  <c:v>3011.04</c:v>
                </c:pt>
                <c:pt idx="7">
                  <c:v>3013.84</c:v>
                </c:pt>
                <c:pt idx="8">
                  <c:v>3013.19</c:v>
                </c:pt>
                <c:pt idx="9">
                  <c:v>2972.03</c:v>
                </c:pt>
                <c:pt idx="10">
                  <c:v>3011.96</c:v>
                </c:pt>
                <c:pt idx="11">
                  <c:v>3012.24</c:v>
                </c:pt>
                <c:pt idx="12">
                  <c:v>3011.65</c:v>
                </c:pt>
                <c:pt idx="13">
                  <c:v>3011.46</c:v>
                </c:pt>
                <c:pt idx="14">
                  <c:v>2963.87</c:v>
                </c:pt>
                <c:pt idx="15">
                  <c:v>3009.99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15-4547-AAEA-2904FB359ED6}"/>
            </c:ext>
          </c:extLst>
        </c:ser>
        <c:ser>
          <c:idx val="2"/>
          <c:order val="2"/>
          <c:tx>
            <c:v>Mmin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img!$H$25:$H$33</c:f>
              <c:numCache>
                <c:formatCode>General</c:formatCode>
                <c:ptCount val="9"/>
                <c:pt idx="0">
                  <c:v>117</c:v>
                </c:pt>
                <c:pt idx="1">
                  <c:v>118</c:v>
                </c:pt>
                <c:pt idx="2" formatCode="#,##0.0">
                  <c:v>120</c:v>
                </c:pt>
                <c:pt idx="3">
                  <c:v>121</c:v>
                </c:pt>
                <c:pt idx="4" formatCode="#,##0.0">
                  <c:v>121</c:v>
                </c:pt>
                <c:pt idx="5" formatCode="#,##0.0">
                  <c:v>122</c:v>
                </c:pt>
                <c:pt idx="6">
                  <c:v>124</c:v>
                </c:pt>
                <c:pt idx="7" formatCode="#,##0.0">
                  <c:v>132</c:v>
                </c:pt>
                <c:pt idx="8" formatCode="#,##0.0">
                  <c:v>133</c:v>
                </c:pt>
              </c:numCache>
            </c:numRef>
          </c:xVal>
          <c:yVal>
            <c:numRef>
              <c:f>img!$P$25:$P$33</c:f>
              <c:numCache>
                <c:formatCode>General</c:formatCode>
                <c:ptCount val="9"/>
                <c:pt idx="0">
                  <c:v>853.92</c:v>
                </c:pt>
                <c:pt idx="1">
                  <c:v>550.46</c:v>
                </c:pt>
                <c:pt idx="2">
                  <c:v>907.46</c:v>
                </c:pt>
                <c:pt idx="3">
                  <c:v>697.72</c:v>
                </c:pt>
                <c:pt idx="4">
                  <c:v>588.1</c:v>
                </c:pt>
                <c:pt idx="5">
                  <c:v>794.89</c:v>
                </c:pt>
                <c:pt idx="6">
                  <c:v>967.53</c:v>
                </c:pt>
                <c:pt idx="7">
                  <c:v>844.9</c:v>
                </c:pt>
                <c:pt idx="8">
                  <c:v>815.55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5D-4C2D-B324-42D8FCCD9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275656"/>
        <c:axId val="501269424"/>
      </c:scatterChart>
      <c:valAx>
        <c:axId val="501275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269424"/>
        <c:crosses val="autoZero"/>
        <c:crossBetween val="midCat"/>
      </c:valAx>
      <c:valAx>
        <c:axId val="50126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275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92059206487142E-2"/>
          <c:y val="7.9819909184854487E-2"/>
          <c:w val="0.85853015278437284"/>
          <c:h val="0.81606833183158967"/>
        </c:manualLayout>
      </c:layout>
      <c:scatterChart>
        <c:scatterStyle val="lineMarker"/>
        <c:varyColors val="0"/>
        <c:ser>
          <c:idx val="0"/>
          <c:order val="0"/>
          <c:tx>
            <c:strRef>
              <c:f>img!$P$1</c:f>
              <c:strCache>
                <c:ptCount val="1"/>
                <c:pt idx="0">
                  <c:v>min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img!$H$2:$H$17</c:f>
              <c:numCache>
                <c:formatCode>General</c:formatCode>
                <c:ptCount val="16"/>
                <c:pt idx="0" formatCode="#,##0.0">
                  <c:v>97</c:v>
                </c:pt>
                <c:pt idx="1">
                  <c:v>99</c:v>
                </c:pt>
                <c:pt idx="2">
                  <c:v>101</c:v>
                </c:pt>
                <c:pt idx="3">
                  <c:v>102</c:v>
                </c:pt>
                <c:pt idx="4">
                  <c:v>104</c:v>
                </c:pt>
                <c:pt idx="5">
                  <c:v>106</c:v>
                </c:pt>
                <c:pt idx="6" formatCode="#,##0.0">
                  <c:v>107</c:v>
                </c:pt>
                <c:pt idx="7">
                  <c:v>107</c:v>
                </c:pt>
                <c:pt idx="8">
                  <c:v>108</c:v>
                </c:pt>
                <c:pt idx="9" formatCode="#,##0.0">
                  <c:v>109</c:v>
                </c:pt>
                <c:pt idx="10" formatCode="#,##0.0">
                  <c:v>111</c:v>
                </c:pt>
                <c:pt idx="11">
                  <c:v>113</c:v>
                </c:pt>
                <c:pt idx="12">
                  <c:v>113</c:v>
                </c:pt>
                <c:pt idx="13">
                  <c:v>117</c:v>
                </c:pt>
                <c:pt idx="14" formatCode="#,##0.0">
                  <c:v>117</c:v>
                </c:pt>
                <c:pt idx="15" formatCode="#,##0.0">
                  <c:v>121</c:v>
                </c:pt>
              </c:numCache>
            </c:numRef>
          </c:xVal>
          <c:yVal>
            <c:numRef>
              <c:f>img!$P$2:$P$17</c:f>
              <c:numCache>
                <c:formatCode>General</c:formatCode>
                <c:ptCount val="16"/>
                <c:pt idx="0">
                  <c:v>978.29</c:v>
                </c:pt>
                <c:pt idx="1">
                  <c:v>805.98</c:v>
                </c:pt>
                <c:pt idx="2">
                  <c:v>958.59</c:v>
                </c:pt>
                <c:pt idx="3">
                  <c:v>869.38</c:v>
                </c:pt>
                <c:pt idx="4">
                  <c:v>927.47</c:v>
                </c:pt>
                <c:pt idx="5">
                  <c:v>1079.4000000000001</c:v>
                </c:pt>
                <c:pt idx="6">
                  <c:v>802.6</c:v>
                </c:pt>
                <c:pt idx="7">
                  <c:v>980.08</c:v>
                </c:pt>
                <c:pt idx="8">
                  <c:v>882.42</c:v>
                </c:pt>
                <c:pt idx="9">
                  <c:v>826.05</c:v>
                </c:pt>
                <c:pt idx="10">
                  <c:v>920.98</c:v>
                </c:pt>
                <c:pt idx="11">
                  <c:v>1057.58</c:v>
                </c:pt>
                <c:pt idx="12">
                  <c:v>956.52</c:v>
                </c:pt>
                <c:pt idx="13">
                  <c:v>804.57</c:v>
                </c:pt>
                <c:pt idx="14">
                  <c:v>931.97</c:v>
                </c:pt>
                <c:pt idx="15">
                  <c:v>805.2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5-41F0-8FC9-18A90CE9D34A}"/>
            </c:ext>
          </c:extLst>
        </c:ser>
        <c:ser>
          <c:idx val="1"/>
          <c:order val="1"/>
          <c:tx>
            <c:strRef>
              <c:f>img!$Q$1</c:f>
              <c:strCache>
                <c:ptCount val="1"/>
                <c:pt idx="0">
                  <c:v>max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img!$H$2:$H$17</c:f>
              <c:numCache>
                <c:formatCode>General</c:formatCode>
                <c:ptCount val="16"/>
                <c:pt idx="0" formatCode="#,##0.0">
                  <c:v>97</c:v>
                </c:pt>
                <c:pt idx="1">
                  <c:v>99</c:v>
                </c:pt>
                <c:pt idx="2">
                  <c:v>101</c:v>
                </c:pt>
                <c:pt idx="3">
                  <c:v>102</c:v>
                </c:pt>
                <c:pt idx="4">
                  <c:v>104</c:v>
                </c:pt>
                <c:pt idx="5">
                  <c:v>106</c:v>
                </c:pt>
                <c:pt idx="6" formatCode="#,##0.0">
                  <c:v>107</c:v>
                </c:pt>
                <c:pt idx="7">
                  <c:v>107</c:v>
                </c:pt>
                <c:pt idx="8">
                  <c:v>108</c:v>
                </c:pt>
                <c:pt idx="9" formatCode="#,##0.0">
                  <c:v>109</c:v>
                </c:pt>
                <c:pt idx="10" formatCode="#,##0.0">
                  <c:v>111</c:v>
                </c:pt>
                <c:pt idx="11">
                  <c:v>113</c:v>
                </c:pt>
                <c:pt idx="12">
                  <c:v>113</c:v>
                </c:pt>
                <c:pt idx="13">
                  <c:v>117</c:v>
                </c:pt>
                <c:pt idx="14" formatCode="#,##0.0">
                  <c:v>117</c:v>
                </c:pt>
                <c:pt idx="15" formatCode="#,##0.0">
                  <c:v>121</c:v>
                </c:pt>
              </c:numCache>
            </c:numRef>
          </c:xVal>
          <c:yVal>
            <c:numRef>
              <c:f>img!$Q$2:$Q$17</c:f>
              <c:numCache>
                <c:formatCode>General</c:formatCode>
                <c:ptCount val="16"/>
                <c:pt idx="0">
                  <c:v>2953.11</c:v>
                </c:pt>
                <c:pt idx="1">
                  <c:v>2834.17</c:v>
                </c:pt>
                <c:pt idx="2">
                  <c:v>2999.41</c:v>
                </c:pt>
                <c:pt idx="3">
                  <c:v>2847.44</c:v>
                </c:pt>
                <c:pt idx="4">
                  <c:v>3076.63</c:v>
                </c:pt>
                <c:pt idx="5">
                  <c:v>2966.99</c:v>
                </c:pt>
                <c:pt idx="6">
                  <c:v>3077.4</c:v>
                </c:pt>
                <c:pt idx="7">
                  <c:v>3014.25</c:v>
                </c:pt>
                <c:pt idx="8">
                  <c:v>2916.81</c:v>
                </c:pt>
                <c:pt idx="9">
                  <c:v>2864.08</c:v>
                </c:pt>
                <c:pt idx="10">
                  <c:v>2849.22</c:v>
                </c:pt>
                <c:pt idx="11">
                  <c:v>2977.85</c:v>
                </c:pt>
                <c:pt idx="12">
                  <c:v>3076.38</c:v>
                </c:pt>
                <c:pt idx="13">
                  <c:v>2843.74</c:v>
                </c:pt>
                <c:pt idx="14">
                  <c:v>3075.1</c:v>
                </c:pt>
                <c:pt idx="15">
                  <c:v>2887.04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B5-41F0-8FC9-18A90CE9D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274736"/>
        <c:axId val="583271128"/>
      </c:scatterChart>
      <c:valAx>
        <c:axId val="58327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271128"/>
        <c:crosses val="autoZero"/>
        <c:crossBetween val="midCat"/>
      </c:valAx>
      <c:valAx>
        <c:axId val="58327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27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img!$P$1</c:f>
              <c:strCache>
                <c:ptCount val="1"/>
                <c:pt idx="0">
                  <c:v>min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img!$H$2:$H$64</c:f>
              <c:numCache>
                <c:formatCode>General</c:formatCode>
                <c:ptCount val="63"/>
                <c:pt idx="0" formatCode="#,##0.0">
                  <c:v>97</c:v>
                </c:pt>
                <c:pt idx="1">
                  <c:v>99</c:v>
                </c:pt>
                <c:pt idx="2">
                  <c:v>101</c:v>
                </c:pt>
                <c:pt idx="3">
                  <c:v>102</c:v>
                </c:pt>
                <c:pt idx="4">
                  <c:v>104</c:v>
                </c:pt>
                <c:pt idx="5">
                  <c:v>106</c:v>
                </c:pt>
                <c:pt idx="6" formatCode="#,##0.0">
                  <c:v>107</c:v>
                </c:pt>
                <c:pt idx="7">
                  <c:v>107</c:v>
                </c:pt>
                <c:pt idx="8">
                  <c:v>108</c:v>
                </c:pt>
                <c:pt idx="9" formatCode="#,##0.0">
                  <c:v>109</c:v>
                </c:pt>
                <c:pt idx="10" formatCode="#,##0.0">
                  <c:v>111</c:v>
                </c:pt>
                <c:pt idx="11">
                  <c:v>113</c:v>
                </c:pt>
                <c:pt idx="12">
                  <c:v>113</c:v>
                </c:pt>
                <c:pt idx="13">
                  <c:v>117</c:v>
                </c:pt>
                <c:pt idx="14" formatCode="#,##0.0">
                  <c:v>117</c:v>
                </c:pt>
                <c:pt idx="15" formatCode="#,##0.0">
                  <c:v>121</c:v>
                </c:pt>
                <c:pt idx="16" formatCode="#,##0.0">
                  <c:v>105</c:v>
                </c:pt>
                <c:pt idx="17">
                  <c:v>110</c:v>
                </c:pt>
                <c:pt idx="18">
                  <c:v>112</c:v>
                </c:pt>
                <c:pt idx="19">
                  <c:v>113</c:v>
                </c:pt>
                <c:pt idx="20">
                  <c:v>114</c:v>
                </c:pt>
                <c:pt idx="21">
                  <c:v>115</c:v>
                </c:pt>
                <c:pt idx="22">
                  <c:v>116</c:v>
                </c:pt>
                <c:pt idx="23">
                  <c:v>117</c:v>
                </c:pt>
                <c:pt idx="24">
                  <c:v>118</c:v>
                </c:pt>
                <c:pt idx="25" formatCode="#,##0.0">
                  <c:v>120</c:v>
                </c:pt>
                <c:pt idx="26">
                  <c:v>121</c:v>
                </c:pt>
                <c:pt idx="27" formatCode="#,##0.0">
                  <c:v>121</c:v>
                </c:pt>
                <c:pt idx="28" formatCode="#,##0.0">
                  <c:v>122</c:v>
                </c:pt>
                <c:pt idx="29">
                  <c:v>124</c:v>
                </c:pt>
                <c:pt idx="30" formatCode="#,##0.0">
                  <c:v>132</c:v>
                </c:pt>
                <c:pt idx="31" formatCode="#,##0.0">
                  <c:v>133</c:v>
                </c:pt>
                <c:pt idx="32" formatCode="#,##0.0">
                  <c:v>99</c:v>
                </c:pt>
                <c:pt idx="33">
                  <c:v>101</c:v>
                </c:pt>
                <c:pt idx="34">
                  <c:v>104</c:v>
                </c:pt>
                <c:pt idx="35">
                  <c:v>106</c:v>
                </c:pt>
                <c:pt idx="36">
                  <c:v>107</c:v>
                </c:pt>
                <c:pt idx="37">
                  <c:v>107</c:v>
                </c:pt>
                <c:pt idx="38">
                  <c:v>109</c:v>
                </c:pt>
                <c:pt idx="39" formatCode="#,##0.0">
                  <c:v>111</c:v>
                </c:pt>
                <c:pt idx="40">
                  <c:v>111</c:v>
                </c:pt>
                <c:pt idx="41">
                  <c:v>112</c:v>
                </c:pt>
                <c:pt idx="42">
                  <c:v>113</c:v>
                </c:pt>
                <c:pt idx="43" formatCode="#,##0.0">
                  <c:v>117</c:v>
                </c:pt>
                <c:pt idx="44" formatCode="#,##0.0">
                  <c:v>117</c:v>
                </c:pt>
                <c:pt idx="45">
                  <c:v>120</c:v>
                </c:pt>
                <c:pt idx="46" formatCode="#,##0.0">
                  <c:v>121</c:v>
                </c:pt>
                <c:pt idx="47" formatCode="#,##0.0">
                  <c:v>126</c:v>
                </c:pt>
                <c:pt idx="48" formatCode="#,##0.0">
                  <c:v>75</c:v>
                </c:pt>
                <c:pt idx="49" formatCode="#,##0.0">
                  <c:v>84</c:v>
                </c:pt>
                <c:pt idx="50">
                  <c:v>86</c:v>
                </c:pt>
                <c:pt idx="51">
                  <c:v>86</c:v>
                </c:pt>
                <c:pt idx="52">
                  <c:v>87</c:v>
                </c:pt>
                <c:pt idx="53">
                  <c:v>88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91</c:v>
                </c:pt>
                <c:pt idx="58" formatCode="#,##0.0">
                  <c:v>93</c:v>
                </c:pt>
                <c:pt idx="59" formatCode="#,##0.0">
                  <c:v>93</c:v>
                </c:pt>
                <c:pt idx="60">
                  <c:v>93</c:v>
                </c:pt>
                <c:pt idx="61" formatCode="#,##0.0">
                  <c:v>95</c:v>
                </c:pt>
                <c:pt idx="62" formatCode="#,##0.0">
                  <c:v>99</c:v>
                </c:pt>
              </c:numCache>
            </c:numRef>
          </c:xVal>
          <c:yVal>
            <c:numRef>
              <c:f>img!$P$2:$P$64</c:f>
              <c:numCache>
                <c:formatCode>General</c:formatCode>
                <c:ptCount val="63"/>
                <c:pt idx="0">
                  <c:v>978.29</c:v>
                </c:pt>
                <c:pt idx="1">
                  <c:v>805.98</c:v>
                </c:pt>
                <c:pt idx="2">
                  <c:v>958.59</c:v>
                </c:pt>
                <c:pt idx="3">
                  <c:v>869.38</c:v>
                </c:pt>
                <c:pt idx="4">
                  <c:v>927.47</c:v>
                </c:pt>
                <c:pt idx="5">
                  <c:v>1079.4000000000001</c:v>
                </c:pt>
                <c:pt idx="6">
                  <c:v>802.6</c:v>
                </c:pt>
                <c:pt idx="7">
                  <c:v>980.08</c:v>
                </c:pt>
                <c:pt idx="8">
                  <c:v>882.42</c:v>
                </c:pt>
                <c:pt idx="9">
                  <c:v>826.05</c:v>
                </c:pt>
                <c:pt idx="10">
                  <c:v>920.98</c:v>
                </c:pt>
                <c:pt idx="11">
                  <c:v>1057.58</c:v>
                </c:pt>
                <c:pt idx="12">
                  <c:v>956.52</c:v>
                </c:pt>
                <c:pt idx="13">
                  <c:v>804.57</c:v>
                </c:pt>
                <c:pt idx="14">
                  <c:v>931.97</c:v>
                </c:pt>
                <c:pt idx="15">
                  <c:v>805.2</c:v>
                </c:pt>
                <c:pt idx="16">
                  <c:v>767.7</c:v>
                </c:pt>
                <c:pt idx="17">
                  <c:v>1000.92</c:v>
                </c:pt>
                <c:pt idx="18">
                  <c:v>996.97</c:v>
                </c:pt>
                <c:pt idx="19">
                  <c:v>937.82</c:v>
                </c:pt>
                <c:pt idx="20">
                  <c:v>854.75</c:v>
                </c:pt>
                <c:pt idx="21">
                  <c:v>869</c:v>
                </c:pt>
                <c:pt idx="22">
                  <c:v>968.57</c:v>
                </c:pt>
                <c:pt idx="23">
                  <c:v>853.92</c:v>
                </c:pt>
                <c:pt idx="24">
                  <c:v>550.46</c:v>
                </c:pt>
                <c:pt idx="25">
                  <c:v>907.46</c:v>
                </c:pt>
                <c:pt idx="26">
                  <c:v>697.72</c:v>
                </c:pt>
                <c:pt idx="27">
                  <c:v>588.1</c:v>
                </c:pt>
                <c:pt idx="28">
                  <c:v>794.89</c:v>
                </c:pt>
                <c:pt idx="29">
                  <c:v>967.53</c:v>
                </c:pt>
                <c:pt idx="30">
                  <c:v>844.9</c:v>
                </c:pt>
                <c:pt idx="31">
                  <c:v>815.55</c:v>
                </c:pt>
                <c:pt idx="32">
                  <c:v>1114.17</c:v>
                </c:pt>
                <c:pt idx="33">
                  <c:v>650.91</c:v>
                </c:pt>
                <c:pt idx="34">
                  <c:v>870.7</c:v>
                </c:pt>
                <c:pt idx="35">
                  <c:v>1245.79</c:v>
                </c:pt>
                <c:pt idx="36">
                  <c:v>944.04</c:v>
                </c:pt>
                <c:pt idx="37">
                  <c:v>764.1</c:v>
                </c:pt>
                <c:pt idx="38">
                  <c:v>877.6</c:v>
                </c:pt>
                <c:pt idx="39">
                  <c:v>861.94</c:v>
                </c:pt>
                <c:pt idx="40">
                  <c:v>937.84</c:v>
                </c:pt>
                <c:pt idx="41">
                  <c:v>954.88</c:v>
                </c:pt>
                <c:pt idx="42">
                  <c:v>889.04</c:v>
                </c:pt>
                <c:pt idx="43">
                  <c:v>874.75</c:v>
                </c:pt>
                <c:pt idx="44">
                  <c:v>963.4</c:v>
                </c:pt>
                <c:pt idx="45">
                  <c:v>947.15</c:v>
                </c:pt>
                <c:pt idx="46">
                  <c:v>836.12</c:v>
                </c:pt>
                <c:pt idx="47">
                  <c:v>860.19</c:v>
                </c:pt>
                <c:pt idx="49">
                  <c:v>901.78</c:v>
                </c:pt>
                <c:pt idx="50">
                  <c:v>1116.1099999999999</c:v>
                </c:pt>
                <c:pt idx="51">
                  <c:v>979.78</c:v>
                </c:pt>
                <c:pt idx="52">
                  <c:v>1001.27</c:v>
                </c:pt>
                <c:pt idx="53">
                  <c:v>654.24</c:v>
                </c:pt>
                <c:pt idx="54">
                  <c:v>960</c:v>
                </c:pt>
                <c:pt idx="55">
                  <c:v>890.08</c:v>
                </c:pt>
                <c:pt idx="56">
                  <c:v>825.71</c:v>
                </c:pt>
                <c:pt idx="57">
                  <c:v>704.47</c:v>
                </c:pt>
                <c:pt idx="58">
                  <c:v>779.67</c:v>
                </c:pt>
                <c:pt idx="59">
                  <c:v>921.04</c:v>
                </c:pt>
                <c:pt idx="60">
                  <c:v>841.25</c:v>
                </c:pt>
                <c:pt idx="61">
                  <c:v>888.52</c:v>
                </c:pt>
                <c:pt idx="62">
                  <c:v>767.24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9F-4578-B209-E7313B034404}"/>
            </c:ext>
          </c:extLst>
        </c:ser>
        <c:ser>
          <c:idx val="1"/>
          <c:order val="1"/>
          <c:tx>
            <c:strRef>
              <c:f>img!$Q$1</c:f>
              <c:strCache>
                <c:ptCount val="1"/>
                <c:pt idx="0">
                  <c:v>max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img!$H$2:$H$64</c:f>
              <c:numCache>
                <c:formatCode>General</c:formatCode>
                <c:ptCount val="63"/>
                <c:pt idx="0" formatCode="#,##0.0">
                  <c:v>97</c:v>
                </c:pt>
                <c:pt idx="1">
                  <c:v>99</c:v>
                </c:pt>
                <c:pt idx="2">
                  <c:v>101</c:v>
                </c:pt>
                <c:pt idx="3">
                  <c:v>102</c:v>
                </c:pt>
                <c:pt idx="4">
                  <c:v>104</c:v>
                </c:pt>
                <c:pt idx="5">
                  <c:v>106</c:v>
                </c:pt>
                <c:pt idx="6" formatCode="#,##0.0">
                  <c:v>107</c:v>
                </c:pt>
                <c:pt idx="7">
                  <c:v>107</c:v>
                </c:pt>
                <c:pt idx="8">
                  <c:v>108</c:v>
                </c:pt>
                <c:pt idx="9" formatCode="#,##0.0">
                  <c:v>109</c:v>
                </c:pt>
                <c:pt idx="10" formatCode="#,##0.0">
                  <c:v>111</c:v>
                </c:pt>
                <c:pt idx="11">
                  <c:v>113</c:v>
                </c:pt>
                <c:pt idx="12">
                  <c:v>113</c:v>
                </c:pt>
                <c:pt idx="13">
                  <c:v>117</c:v>
                </c:pt>
                <c:pt idx="14" formatCode="#,##0.0">
                  <c:v>117</c:v>
                </c:pt>
                <c:pt idx="15" formatCode="#,##0.0">
                  <c:v>121</c:v>
                </c:pt>
                <c:pt idx="16" formatCode="#,##0.0">
                  <c:v>105</c:v>
                </c:pt>
                <c:pt idx="17">
                  <c:v>110</c:v>
                </c:pt>
                <c:pt idx="18">
                  <c:v>112</c:v>
                </c:pt>
                <c:pt idx="19">
                  <c:v>113</c:v>
                </c:pt>
                <c:pt idx="20">
                  <c:v>114</c:v>
                </c:pt>
                <c:pt idx="21">
                  <c:v>115</c:v>
                </c:pt>
                <c:pt idx="22">
                  <c:v>116</c:v>
                </c:pt>
                <c:pt idx="23">
                  <c:v>117</c:v>
                </c:pt>
                <c:pt idx="24">
                  <c:v>118</c:v>
                </c:pt>
                <c:pt idx="25" formatCode="#,##0.0">
                  <c:v>120</c:v>
                </c:pt>
                <c:pt idx="26">
                  <c:v>121</c:v>
                </c:pt>
                <c:pt idx="27" formatCode="#,##0.0">
                  <c:v>121</c:v>
                </c:pt>
                <c:pt idx="28" formatCode="#,##0.0">
                  <c:v>122</c:v>
                </c:pt>
                <c:pt idx="29">
                  <c:v>124</c:v>
                </c:pt>
                <c:pt idx="30" formatCode="#,##0.0">
                  <c:v>132</c:v>
                </c:pt>
                <c:pt idx="31" formatCode="#,##0.0">
                  <c:v>133</c:v>
                </c:pt>
                <c:pt idx="32" formatCode="#,##0.0">
                  <c:v>99</c:v>
                </c:pt>
                <c:pt idx="33">
                  <c:v>101</c:v>
                </c:pt>
                <c:pt idx="34">
                  <c:v>104</c:v>
                </c:pt>
                <c:pt idx="35">
                  <c:v>106</c:v>
                </c:pt>
                <c:pt idx="36">
                  <c:v>107</c:v>
                </c:pt>
                <c:pt idx="37">
                  <c:v>107</c:v>
                </c:pt>
                <c:pt idx="38">
                  <c:v>109</c:v>
                </c:pt>
                <c:pt idx="39" formatCode="#,##0.0">
                  <c:v>111</c:v>
                </c:pt>
                <c:pt idx="40">
                  <c:v>111</c:v>
                </c:pt>
                <c:pt idx="41">
                  <c:v>112</c:v>
                </c:pt>
                <c:pt idx="42">
                  <c:v>113</c:v>
                </c:pt>
                <c:pt idx="43" formatCode="#,##0.0">
                  <c:v>117</c:v>
                </c:pt>
                <c:pt idx="44" formatCode="#,##0.0">
                  <c:v>117</c:v>
                </c:pt>
                <c:pt idx="45">
                  <c:v>120</c:v>
                </c:pt>
                <c:pt idx="46" formatCode="#,##0.0">
                  <c:v>121</c:v>
                </c:pt>
                <c:pt idx="47" formatCode="#,##0.0">
                  <c:v>126</c:v>
                </c:pt>
                <c:pt idx="48" formatCode="#,##0.0">
                  <c:v>75</c:v>
                </c:pt>
                <c:pt idx="49" formatCode="#,##0.0">
                  <c:v>84</c:v>
                </c:pt>
                <c:pt idx="50">
                  <c:v>86</c:v>
                </c:pt>
                <c:pt idx="51">
                  <c:v>86</c:v>
                </c:pt>
                <c:pt idx="52">
                  <c:v>87</c:v>
                </c:pt>
                <c:pt idx="53">
                  <c:v>88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91</c:v>
                </c:pt>
                <c:pt idx="58" formatCode="#,##0.0">
                  <c:v>93</c:v>
                </c:pt>
                <c:pt idx="59" formatCode="#,##0.0">
                  <c:v>93</c:v>
                </c:pt>
                <c:pt idx="60">
                  <c:v>93</c:v>
                </c:pt>
                <c:pt idx="61" formatCode="#,##0.0">
                  <c:v>95</c:v>
                </c:pt>
                <c:pt idx="62" formatCode="#,##0.0">
                  <c:v>99</c:v>
                </c:pt>
              </c:numCache>
            </c:numRef>
          </c:xVal>
          <c:yVal>
            <c:numRef>
              <c:f>img!$Q$2:$Q$64</c:f>
              <c:numCache>
                <c:formatCode>General</c:formatCode>
                <c:ptCount val="63"/>
                <c:pt idx="0">
                  <c:v>2953.11</c:v>
                </c:pt>
                <c:pt idx="1">
                  <c:v>2834.17</c:v>
                </c:pt>
                <c:pt idx="2">
                  <c:v>2999.41</c:v>
                </c:pt>
                <c:pt idx="3">
                  <c:v>2847.44</c:v>
                </c:pt>
                <c:pt idx="4">
                  <c:v>3076.63</c:v>
                </c:pt>
                <c:pt idx="5">
                  <c:v>2966.99</c:v>
                </c:pt>
                <c:pt idx="6">
                  <c:v>3077.4</c:v>
                </c:pt>
                <c:pt idx="7">
                  <c:v>3014.25</c:v>
                </c:pt>
                <c:pt idx="8">
                  <c:v>2916.81</c:v>
                </c:pt>
                <c:pt idx="9">
                  <c:v>2864.08</c:v>
                </c:pt>
                <c:pt idx="10">
                  <c:v>2849.22</c:v>
                </c:pt>
                <c:pt idx="11">
                  <c:v>2977.85</c:v>
                </c:pt>
                <c:pt idx="12">
                  <c:v>3076.38</c:v>
                </c:pt>
                <c:pt idx="13">
                  <c:v>2843.74</c:v>
                </c:pt>
                <c:pt idx="14">
                  <c:v>3075.1</c:v>
                </c:pt>
                <c:pt idx="15">
                  <c:v>2887.04</c:v>
                </c:pt>
                <c:pt idx="16">
                  <c:v>3005.85</c:v>
                </c:pt>
                <c:pt idx="17">
                  <c:v>3013.76</c:v>
                </c:pt>
                <c:pt idx="18">
                  <c:v>3011.86</c:v>
                </c:pt>
                <c:pt idx="19">
                  <c:v>3013.78</c:v>
                </c:pt>
                <c:pt idx="20">
                  <c:v>3004.2</c:v>
                </c:pt>
                <c:pt idx="21">
                  <c:v>3013.75</c:v>
                </c:pt>
                <c:pt idx="22">
                  <c:v>3011.04</c:v>
                </c:pt>
                <c:pt idx="23">
                  <c:v>3013.84</c:v>
                </c:pt>
                <c:pt idx="24">
                  <c:v>3013.19</c:v>
                </c:pt>
                <c:pt idx="25">
                  <c:v>2972.03</c:v>
                </c:pt>
                <c:pt idx="26">
                  <c:v>3011.96</c:v>
                </c:pt>
                <c:pt idx="27">
                  <c:v>3012.24</c:v>
                </c:pt>
                <c:pt idx="28">
                  <c:v>3011.65</c:v>
                </c:pt>
                <c:pt idx="29">
                  <c:v>3011.46</c:v>
                </c:pt>
                <c:pt idx="30">
                  <c:v>2963.87</c:v>
                </c:pt>
                <c:pt idx="31">
                  <c:v>3009.99</c:v>
                </c:pt>
                <c:pt idx="32">
                  <c:v>2933.07</c:v>
                </c:pt>
                <c:pt idx="33">
                  <c:v>3052.2</c:v>
                </c:pt>
                <c:pt idx="34">
                  <c:v>3093.26</c:v>
                </c:pt>
                <c:pt idx="35">
                  <c:v>3093.06</c:v>
                </c:pt>
                <c:pt idx="36">
                  <c:v>2972.18</c:v>
                </c:pt>
                <c:pt idx="37">
                  <c:v>3092.15</c:v>
                </c:pt>
                <c:pt idx="38">
                  <c:v>3095.24</c:v>
                </c:pt>
                <c:pt idx="39">
                  <c:v>3050.04</c:v>
                </c:pt>
                <c:pt idx="40">
                  <c:v>3092.77</c:v>
                </c:pt>
                <c:pt idx="41">
                  <c:v>2909.09</c:v>
                </c:pt>
                <c:pt idx="42">
                  <c:v>3092.84</c:v>
                </c:pt>
                <c:pt idx="43">
                  <c:v>2886.74</c:v>
                </c:pt>
                <c:pt idx="44">
                  <c:v>2955.08</c:v>
                </c:pt>
                <c:pt idx="45">
                  <c:v>3048.64</c:v>
                </c:pt>
                <c:pt idx="46">
                  <c:v>3091.69</c:v>
                </c:pt>
                <c:pt idx="47">
                  <c:v>2946.51</c:v>
                </c:pt>
                <c:pt idx="49">
                  <c:v>2778.48</c:v>
                </c:pt>
                <c:pt idx="50">
                  <c:v>2771.17</c:v>
                </c:pt>
                <c:pt idx="51">
                  <c:v>3022.56</c:v>
                </c:pt>
                <c:pt idx="52">
                  <c:v>2888.97</c:v>
                </c:pt>
                <c:pt idx="53">
                  <c:v>2735.71</c:v>
                </c:pt>
                <c:pt idx="54">
                  <c:v>2910.66</c:v>
                </c:pt>
                <c:pt idx="55">
                  <c:v>2835.54</c:v>
                </c:pt>
                <c:pt idx="56">
                  <c:v>2887.84</c:v>
                </c:pt>
                <c:pt idx="57">
                  <c:v>2793.75</c:v>
                </c:pt>
                <c:pt idx="58">
                  <c:v>2848.97</c:v>
                </c:pt>
                <c:pt idx="59">
                  <c:v>2847.82</c:v>
                </c:pt>
                <c:pt idx="60">
                  <c:v>2770.54</c:v>
                </c:pt>
                <c:pt idx="61">
                  <c:v>2884.59</c:v>
                </c:pt>
                <c:pt idx="62">
                  <c:v>2879.19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9F-4578-B209-E7313B034404}"/>
            </c:ext>
          </c:extLst>
        </c:ser>
        <c:ser>
          <c:idx val="2"/>
          <c:order val="2"/>
          <c:tx>
            <c:strRef>
              <c:f>img!$R$1</c:f>
              <c:strCache>
                <c:ptCount val="1"/>
                <c:pt idx="0">
                  <c:v>max-min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img!$H$2:$H$64</c:f>
              <c:numCache>
                <c:formatCode>General</c:formatCode>
                <c:ptCount val="63"/>
                <c:pt idx="0" formatCode="#,##0.0">
                  <c:v>97</c:v>
                </c:pt>
                <c:pt idx="1">
                  <c:v>99</c:v>
                </c:pt>
                <c:pt idx="2">
                  <c:v>101</c:v>
                </c:pt>
                <c:pt idx="3">
                  <c:v>102</c:v>
                </c:pt>
                <c:pt idx="4">
                  <c:v>104</c:v>
                </c:pt>
                <c:pt idx="5">
                  <c:v>106</c:v>
                </c:pt>
                <c:pt idx="6" formatCode="#,##0.0">
                  <c:v>107</c:v>
                </c:pt>
                <c:pt idx="7">
                  <c:v>107</c:v>
                </c:pt>
                <c:pt idx="8">
                  <c:v>108</c:v>
                </c:pt>
                <c:pt idx="9" formatCode="#,##0.0">
                  <c:v>109</c:v>
                </c:pt>
                <c:pt idx="10" formatCode="#,##0.0">
                  <c:v>111</c:v>
                </c:pt>
                <c:pt idx="11">
                  <c:v>113</c:v>
                </c:pt>
                <c:pt idx="12">
                  <c:v>113</c:v>
                </c:pt>
                <c:pt idx="13">
                  <c:v>117</c:v>
                </c:pt>
                <c:pt idx="14" formatCode="#,##0.0">
                  <c:v>117</c:v>
                </c:pt>
                <c:pt idx="15" formatCode="#,##0.0">
                  <c:v>121</c:v>
                </c:pt>
                <c:pt idx="16" formatCode="#,##0.0">
                  <c:v>105</c:v>
                </c:pt>
                <c:pt idx="17">
                  <c:v>110</c:v>
                </c:pt>
                <c:pt idx="18">
                  <c:v>112</c:v>
                </c:pt>
                <c:pt idx="19">
                  <c:v>113</c:v>
                </c:pt>
                <c:pt idx="20">
                  <c:v>114</c:v>
                </c:pt>
                <c:pt idx="21">
                  <c:v>115</c:v>
                </c:pt>
                <c:pt idx="22">
                  <c:v>116</c:v>
                </c:pt>
                <c:pt idx="23">
                  <c:v>117</c:v>
                </c:pt>
                <c:pt idx="24">
                  <c:v>118</c:v>
                </c:pt>
                <c:pt idx="25" formatCode="#,##0.0">
                  <c:v>120</c:v>
                </c:pt>
                <c:pt idx="26">
                  <c:v>121</c:v>
                </c:pt>
                <c:pt idx="27" formatCode="#,##0.0">
                  <c:v>121</c:v>
                </c:pt>
                <c:pt idx="28" formatCode="#,##0.0">
                  <c:v>122</c:v>
                </c:pt>
                <c:pt idx="29">
                  <c:v>124</c:v>
                </c:pt>
                <c:pt idx="30" formatCode="#,##0.0">
                  <c:v>132</c:v>
                </c:pt>
                <c:pt idx="31" formatCode="#,##0.0">
                  <c:v>133</c:v>
                </c:pt>
                <c:pt idx="32" formatCode="#,##0.0">
                  <c:v>99</c:v>
                </c:pt>
                <c:pt idx="33">
                  <c:v>101</c:v>
                </c:pt>
                <c:pt idx="34">
                  <c:v>104</c:v>
                </c:pt>
                <c:pt idx="35">
                  <c:v>106</c:v>
                </c:pt>
                <c:pt idx="36">
                  <c:v>107</c:v>
                </c:pt>
                <c:pt idx="37">
                  <c:v>107</c:v>
                </c:pt>
                <c:pt idx="38">
                  <c:v>109</c:v>
                </c:pt>
                <c:pt idx="39" formatCode="#,##0.0">
                  <c:v>111</c:v>
                </c:pt>
                <c:pt idx="40">
                  <c:v>111</c:v>
                </c:pt>
                <c:pt idx="41">
                  <c:v>112</c:v>
                </c:pt>
                <c:pt idx="42">
                  <c:v>113</c:v>
                </c:pt>
                <c:pt idx="43" formatCode="#,##0.0">
                  <c:v>117</c:v>
                </c:pt>
                <c:pt idx="44" formatCode="#,##0.0">
                  <c:v>117</c:v>
                </c:pt>
                <c:pt idx="45">
                  <c:v>120</c:v>
                </c:pt>
                <c:pt idx="46" formatCode="#,##0.0">
                  <c:v>121</c:v>
                </c:pt>
                <c:pt idx="47" formatCode="#,##0.0">
                  <c:v>126</c:v>
                </c:pt>
                <c:pt idx="48" formatCode="#,##0.0">
                  <c:v>75</c:v>
                </c:pt>
                <c:pt idx="49" formatCode="#,##0.0">
                  <c:v>84</c:v>
                </c:pt>
                <c:pt idx="50">
                  <c:v>86</c:v>
                </c:pt>
                <c:pt idx="51">
                  <c:v>86</c:v>
                </c:pt>
                <c:pt idx="52">
                  <c:v>87</c:v>
                </c:pt>
                <c:pt idx="53">
                  <c:v>88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91</c:v>
                </c:pt>
                <c:pt idx="58" formatCode="#,##0.0">
                  <c:v>93</c:v>
                </c:pt>
                <c:pt idx="59" formatCode="#,##0.0">
                  <c:v>93</c:v>
                </c:pt>
                <c:pt idx="60">
                  <c:v>93</c:v>
                </c:pt>
                <c:pt idx="61" formatCode="#,##0.0">
                  <c:v>95</c:v>
                </c:pt>
                <c:pt idx="62" formatCode="#,##0.0">
                  <c:v>99</c:v>
                </c:pt>
              </c:numCache>
            </c:numRef>
          </c:xVal>
          <c:yVal>
            <c:numRef>
              <c:f>img!$R$2:$R$64</c:f>
              <c:numCache>
                <c:formatCode>General</c:formatCode>
                <c:ptCount val="63"/>
                <c:pt idx="0">
                  <c:v>1974.8200000000002</c:v>
                </c:pt>
                <c:pt idx="1">
                  <c:v>2028.19</c:v>
                </c:pt>
                <c:pt idx="2">
                  <c:v>2040.8199999999997</c:v>
                </c:pt>
                <c:pt idx="3">
                  <c:v>1978.06</c:v>
                </c:pt>
                <c:pt idx="4">
                  <c:v>2149.16</c:v>
                </c:pt>
                <c:pt idx="5">
                  <c:v>1887.5899999999997</c:v>
                </c:pt>
                <c:pt idx="6">
                  <c:v>2274.8000000000002</c:v>
                </c:pt>
                <c:pt idx="7">
                  <c:v>2034.17</c:v>
                </c:pt>
                <c:pt idx="8">
                  <c:v>2034.3899999999999</c:v>
                </c:pt>
                <c:pt idx="9">
                  <c:v>2038.03</c:v>
                </c:pt>
                <c:pt idx="10">
                  <c:v>1928.2399999999998</c:v>
                </c:pt>
                <c:pt idx="11">
                  <c:v>1920.27</c:v>
                </c:pt>
                <c:pt idx="12">
                  <c:v>2119.86</c:v>
                </c:pt>
                <c:pt idx="13">
                  <c:v>2039.1699999999996</c:v>
                </c:pt>
                <c:pt idx="14">
                  <c:v>2143.13</c:v>
                </c:pt>
                <c:pt idx="15">
                  <c:v>2081.84</c:v>
                </c:pt>
                <c:pt idx="16">
                  <c:v>2238.1499999999996</c:v>
                </c:pt>
                <c:pt idx="17">
                  <c:v>2012.8400000000001</c:v>
                </c:pt>
                <c:pt idx="18">
                  <c:v>2014.89</c:v>
                </c:pt>
                <c:pt idx="19">
                  <c:v>2075.96</c:v>
                </c:pt>
                <c:pt idx="20">
                  <c:v>2149.4499999999998</c:v>
                </c:pt>
                <c:pt idx="21">
                  <c:v>2144.75</c:v>
                </c:pt>
                <c:pt idx="22">
                  <c:v>2042.4699999999998</c:v>
                </c:pt>
                <c:pt idx="23">
                  <c:v>2159.92</c:v>
                </c:pt>
                <c:pt idx="24">
                  <c:v>2462.73</c:v>
                </c:pt>
                <c:pt idx="25">
                  <c:v>2064.5700000000002</c:v>
                </c:pt>
                <c:pt idx="26">
                  <c:v>2314.2399999999998</c:v>
                </c:pt>
                <c:pt idx="27">
                  <c:v>2424.14</c:v>
                </c:pt>
                <c:pt idx="28">
                  <c:v>2216.7600000000002</c:v>
                </c:pt>
                <c:pt idx="29">
                  <c:v>2043.93</c:v>
                </c:pt>
                <c:pt idx="30">
                  <c:v>2118.9699999999998</c:v>
                </c:pt>
                <c:pt idx="31">
                  <c:v>2194.4399999999996</c:v>
                </c:pt>
                <c:pt idx="32">
                  <c:v>1818.9</c:v>
                </c:pt>
                <c:pt idx="33">
                  <c:v>2401.29</c:v>
                </c:pt>
                <c:pt idx="34">
                  <c:v>2222.5600000000004</c:v>
                </c:pt>
                <c:pt idx="35">
                  <c:v>1847.27</c:v>
                </c:pt>
                <c:pt idx="36">
                  <c:v>2028.1399999999999</c:v>
                </c:pt>
                <c:pt idx="37">
                  <c:v>2328.0500000000002</c:v>
                </c:pt>
                <c:pt idx="38">
                  <c:v>2217.64</c:v>
                </c:pt>
                <c:pt idx="39">
                  <c:v>2188.1</c:v>
                </c:pt>
                <c:pt idx="40">
                  <c:v>2154.9299999999998</c:v>
                </c:pt>
                <c:pt idx="41">
                  <c:v>1954.21</c:v>
                </c:pt>
                <c:pt idx="42">
                  <c:v>2203.8000000000002</c:v>
                </c:pt>
                <c:pt idx="43">
                  <c:v>2011.9899999999998</c:v>
                </c:pt>
                <c:pt idx="44">
                  <c:v>1991.6799999999998</c:v>
                </c:pt>
                <c:pt idx="45">
                  <c:v>2101.4899999999998</c:v>
                </c:pt>
                <c:pt idx="46">
                  <c:v>2255.5700000000002</c:v>
                </c:pt>
                <c:pt idx="47">
                  <c:v>2086.3200000000002</c:v>
                </c:pt>
                <c:pt idx="49">
                  <c:v>1876.7</c:v>
                </c:pt>
                <c:pt idx="50">
                  <c:v>1655.0600000000002</c:v>
                </c:pt>
                <c:pt idx="51">
                  <c:v>2042.78</c:v>
                </c:pt>
                <c:pt idx="52">
                  <c:v>1887.6999999999998</c:v>
                </c:pt>
                <c:pt idx="53">
                  <c:v>2081.4700000000003</c:v>
                </c:pt>
                <c:pt idx="54">
                  <c:v>1950.6599999999999</c:v>
                </c:pt>
                <c:pt idx="55">
                  <c:v>1945.46</c:v>
                </c:pt>
                <c:pt idx="56">
                  <c:v>2062.13</c:v>
                </c:pt>
                <c:pt idx="57">
                  <c:v>2089.2799999999997</c:v>
                </c:pt>
                <c:pt idx="58">
                  <c:v>2069.2999999999997</c:v>
                </c:pt>
                <c:pt idx="59">
                  <c:v>1926.7800000000002</c:v>
                </c:pt>
                <c:pt idx="60">
                  <c:v>1929.29</c:v>
                </c:pt>
                <c:pt idx="61">
                  <c:v>1996.0700000000002</c:v>
                </c:pt>
                <c:pt idx="62">
                  <c:v>2111.9499999999998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9F-4578-B209-E7313B034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254088"/>
        <c:axId val="497254416"/>
      </c:scatterChart>
      <c:valAx>
        <c:axId val="497254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54416"/>
        <c:crosses val="autoZero"/>
        <c:crossBetween val="midCat"/>
      </c:valAx>
      <c:valAx>
        <c:axId val="49725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54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diff!$A$23:$A$38</c:f>
              <c:strCache>
                <c:ptCount val="16"/>
                <c:pt idx="0">
                  <c:v>andrew_r.txt</c:v>
                </c:pt>
                <c:pt idx="1">
                  <c:v>chengjie_r.txt</c:v>
                </c:pt>
                <c:pt idx="2">
                  <c:v>chenmeixi_r.txt</c:v>
                </c:pt>
                <c:pt idx="3">
                  <c:v>chukai_r.txt</c:v>
                </c:pt>
                <c:pt idx="4">
                  <c:v>conglifu_r.txt</c:v>
                </c:pt>
                <c:pt idx="5">
                  <c:v>ruimin_r.txt</c:v>
                </c:pt>
                <c:pt idx="6">
                  <c:v>shuaishuai_r.txt</c:v>
                </c:pt>
                <c:pt idx="7">
                  <c:v>shuangshishi_r.txt</c:v>
                </c:pt>
                <c:pt idx="8">
                  <c:v>sunjiayue_r.txt</c:v>
                </c:pt>
                <c:pt idx="9">
                  <c:v>tangjuxue_r.txt</c:v>
                </c:pt>
                <c:pt idx="10">
                  <c:v>ts_r.txt</c:v>
                </c:pt>
                <c:pt idx="11">
                  <c:v>weiguo_r.txt</c:v>
                </c:pt>
                <c:pt idx="12">
                  <c:v>zhangyouyou_r.txt</c:v>
                </c:pt>
                <c:pt idx="13">
                  <c:v>zhangzi_r.txt</c:v>
                </c:pt>
                <c:pt idx="14">
                  <c:v>zhouran_r.txt</c:v>
                </c:pt>
                <c:pt idx="15">
                  <c:v>zixiang_r.txt</c:v>
                </c:pt>
              </c:strCache>
            </c:strRef>
          </c:cat>
          <c:val>
            <c:numRef>
              <c:f>diff!$Y$23:$Y$38</c:f>
              <c:numCache>
                <c:formatCode>0.00</c:formatCode>
                <c:ptCount val="16"/>
                <c:pt idx="0">
                  <c:v>49.945454545454552</c:v>
                </c:pt>
                <c:pt idx="1">
                  <c:v>102.30416666666663</c:v>
                </c:pt>
                <c:pt idx="2">
                  <c:v>103.0331818181818</c:v>
                </c:pt>
                <c:pt idx="3">
                  <c:v>51.150909090909117</c:v>
                </c:pt>
                <c:pt idx="4">
                  <c:v>65.781818181818181</c:v>
                </c:pt>
                <c:pt idx="5">
                  <c:v>89.317727272727268</c:v>
                </c:pt>
                <c:pt idx="6">
                  <c:v>73.18947368421054</c:v>
                </c:pt>
                <c:pt idx="7">
                  <c:v>66.987352941176454</c:v>
                </c:pt>
                <c:pt idx="8">
                  <c:v>0</c:v>
                </c:pt>
                <c:pt idx="9">
                  <c:v>50.805263157894728</c:v>
                </c:pt>
                <c:pt idx="10">
                  <c:v>57.026818181818179</c:v>
                </c:pt>
                <c:pt idx="11">
                  <c:v>56.18272727272727</c:v>
                </c:pt>
                <c:pt idx="12">
                  <c:v>43.420526315789473</c:v>
                </c:pt>
                <c:pt idx="13">
                  <c:v>113.10363636363635</c:v>
                </c:pt>
                <c:pt idx="14">
                  <c:v>49.251363636363614</c:v>
                </c:pt>
                <c:pt idx="15">
                  <c:v>72.691818181818178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2A-4742-98FA-8CDBB728378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diff!$A$23:$A$38</c:f>
              <c:strCache>
                <c:ptCount val="16"/>
                <c:pt idx="0">
                  <c:v>andrew_r.txt</c:v>
                </c:pt>
                <c:pt idx="1">
                  <c:v>chengjie_r.txt</c:v>
                </c:pt>
                <c:pt idx="2">
                  <c:v>chenmeixi_r.txt</c:v>
                </c:pt>
                <c:pt idx="3">
                  <c:v>chukai_r.txt</c:v>
                </c:pt>
                <c:pt idx="4">
                  <c:v>conglifu_r.txt</c:v>
                </c:pt>
                <c:pt idx="5">
                  <c:v>ruimin_r.txt</c:v>
                </c:pt>
                <c:pt idx="6">
                  <c:v>shuaishuai_r.txt</c:v>
                </c:pt>
                <c:pt idx="7">
                  <c:v>shuangshishi_r.txt</c:v>
                </c:pt>
                <c:pt idx="8">
                  <c:v>sunjiayue_r.txt</c:v>
                </c:pt>
                <c:pt idx="9">
                  <c:v>tangjuxue_r.txt</c:v>
                </c:pt>
                <c:pt idx="10">
                  <c:v>ts_r.txt</c:v>
                </c:pt>
                <c:pt idx="11">
                  <c:v>weiguo_r.txt</c:v>
                </c:pt>
                <c:pt idx="12">
                  <c:v>zhangyouyou_r.txt</c:v>
                </c:pt>
                <c:pt idx="13">
                  <c:v>zhangzi_r.txt</c:v>
                </c:pt>
                <c:pt idx="14">
                  <c:v>zhouran_r.txt</c:v>
                </c:pt>
                <c:pt idx="15">
                  <c:v>zixiang_r.txt</c:v>
                </c:pt>
              </c:strCache>
            </c:strRef>
          </c:cat>
          <c:val>
            <c:numRef>
              <c:f>diff!$Z$23:$Z$38</c:f>
              <c:numCache>
                <c:formatCode>0.00</c:formatCode>
                <c:ptCount val="16"/>
                <c:pt idx="0">
                  <c:v>33.360000000000127</c:v>
                </c:pt>
                <c:pt idx="1">
                  <c:v>81.105000000000246</c:v>
                </c:pt>
                <c:pt idx="2">
                  <c:v>76.185000000000002</c:v>
                </c:pt>
                <c:pt idx="3">
                  <c:v>41.512500000000045</c:v>
                </c:pt>
                <c:pt idx="4">
                  <c:v>42.8275000000001</c:v>
                </c:pt>
                <c:pt idx="5">
                  <c:v>92.122500000000002</c:v>
                </c:pt>
                <c:pt idx="6">
                  <c:v>62.264999999999873</c:v>
                </c:pt>
                <c:pt idx="7">
                  <c:v>53.850000000000364</c:v>
                </c:pt>
                <c:pt idx="8">
                  <c:v>28.549999999999841</c:v>
                </c:pt>
                <c:pt idx="9">
                  <c:v>41.964999999999918</c:v>
                </c:pt>
                <c:pt idx="10">
                  <c:v>35.732499999999959</c:v>
                </c:pt>
                <c:pt idx="11">
                  <c:v>45.280000000000086</c:v>
                </c:pt>
                <c:pt idx="12">
                  <c:v>29.589999999999918</c:v>
                </c:pt>
                <c:pt idx="13">
                  <c:v>74.952499999999873</c:v>
                </c:pt>
                <c:pt idx="14">
                  <c:v>38.297500000000127</c:v>
                </c:pt>
                <c:pt idx="15">
                  <c:v>48.007499999999936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2A-4742-98FA-8CDBB7283787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diff!$A$23:$A$38</c:f>
              <c:strCache>
                <c:ptCount val="16"/>
                <c:pt idx="0">
                  <c:v>andrew_r.txt</c:v>
                </c:pt>
                <c:pt idx="1">
                  <c:v>chengjie_r.txt</c:v>
                </c:pt>
                <c:pt idx="2">
                  <c:v>chenmeixi_r.txt</c:v>
                </c:pt>
                <c:pt idx="3">
                  <c:v>chukai_r.txt</c:v>
                </c:pt>
                <c:pt idx="4">
                  <c:v>conglifu_r.txt</c:v>
                </c:pt>
                <c:pt idx="5">
                  <c:v>ruimin_r.txt</c:v>
                </c:pt>
                <c:pt idx="6">
                  <c:v>shuaishuai_r.txt</c:v>
                </c:pt>
                <c:pt idx="7">
                  <c:v>shuangshishi_r.txt</c:v>
                </c:pt>
                <c:pt idx="8">
                  <c:v>sunjiayue_r.txt</c:v>
                </c:pt>
                <c:pt idx="9">
                  <c:v>tangjuxue_r.txt</c:v>
                </c:pt>
                <c:pt idx="10">
                  <c:v>ts_r.txt</c:v>
                </c:pt>
                <c:pt idx="11">
                  <c:v>weiguo_r.txt</c:v>
                </c:pt>
                <c:pt idx="12">
                  <c:v>zhangyouyou_r.txt</c:v>
                </c:pt>
                <c:pt idx="13">
                  <c:v>zhangzi_r.txt</c:v>
                </c:pt>
                <c:pt idx="14">
                  <c:v>zhouran_r.txt</c:v>
                </c:pt>
                <c:pt idx="15">
                  <c:v>zixiang_r.txt</c:v>
                </c:pt>
              </c:strCache>
            </c:strRef>
          </c:cat>
          <c:val>
            <c:numRef>
              <c:f>diff!$AA$23:$AA$38</c:f>
              <c:numCache>
                <c:formatCode>0.00</c:formatCode>
                <c:ptCount val="16"/>
                <c:pt idx="0">
                  <c:v>61.483000000000047</c:v>
                </c:pt>
                <c:pt idx="1">
                  <c:v>123.15312500000005</c:v>
                </c:pt>
                <c:pt idx="2">
                  <c:v>94.737999999999943</c:v>
                </c:pt>
                <c:pt idx="3">
                  <c:v>65.45300000000006</c:v>
                </c:pt>
                <c:pt idx="4">
                  <c:v>48.188000000000024</c:v>
                </c:pt>
                <c:pt idx="5">
                  <c:v>98.303999999999988</c:v>
                </c:pt>
                <c:pt idx="6">
                  <c:v>84.649999999999977</c:v>
                </c:pt>
                <c:pt idx="7">
                  <c:v>71.863124999999968</c:v>
                </c:pt>
                <c:pt idx="8">
                  <c:v>20.995999999999992</c:v>
                </c:pt>
                <c:pt idx="9">
                  <c:v>60.984999999999999</c:v>
                </c:pt>
                <c:pt idx="10">
                  <c:v>58.269999999999982</c:v>
                </c:pt>
                <c:pt idx="11">
                  <c:v>56.985000000000028</c:v>
                </c:pt>
                <c:pt idx="12">
                  <c:v>59.678999999999995</c:v>
                </c:pt>
                <c:pt idx="13">
                  <c:v>139.55499999999998</c:v>
                </c:pt>
                <c:pt idx="14">
                  <c:v>72.394999999999982</c:v>
                </c:pt>
                <c:pt idx="15">
                  <c:v>70.071000000000012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2A-4742-98FA-8CDBB7283787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diff!$A$23:$A$38</c:f>
              <c:strCache>
                <c:ptCount val="16"/>
                <c:pt idx="0">
                  <c:v>andrew_r.txt</c:v>
                </c:pt>
                <c:pt idx="1">
                  <c:v>chengjie_r.txt</c:v>
                </c:pt>
                <c:pt idx="2">
                  <c:v>chenmeixi_r.txt</c:v>
                </c:pt>
                <c:pt idx="3">
                  <c:v>chukai_r.txt</c:v>
                </c:pt>
                <c:pt idx="4">
                  <c:v>conglifu_r.txt</c:v>
                </c:pt>
                <c:pt idx="5">
                  <c:v>ruimin_r.txt</c:v>
                </c:pt>
                <c:pt idx="6">
                  <c:v>shuaishuai_r.txt</c:v>
                </c:pt>
                <c:pt idx="7">
                  <c:v>shuangshishi_r.txt</c:v>
                </c:pt>
                <c:pt idx="8">
                  <c:v>sunjiayue_r.txt</c:v>
                </c:pt>
                <c:pt idx="9">
                  <c:v>tangjuxue_r.txt</c:v>
                </c:pt>
                <c:pt idx="10">
                  <c:v>ts_r.txt</c:v>
                </c:pt>
                <c:pt idx="11">
                  <c:v>weiguo_r.txt</c:v>
                </c:pt>
                <c:pt idx="12">
                  <c:v>zhangyouyou_r.txt</c:v>
                </c:pt>
                <c:pt idx="13">
                  <c:v>zhangzi_r.txt</c:v>
                </c:pt>
                <c:pt idx="14">
                  <c:v>zhouran_r.txt</c:v>
                </c:pt>
                <c:pt idx="15">
                  <c:v>zixiang_r.txt</c:v>
                </c:pt>
              </c:strCache>
            </c:strRef>
          </c:cat>
          <c:val>
            <c:numRef>
              <c:f>diff!$AB$23:$AB$38</c:f>
              <c:numCache>
                <c:formatCode>0.00</c:formatCode>
                <c:ptCount val="16"/>
                <c:pt idx="0">
                  <c:v>42.52250000000015</c:v>
                </c:pt>
                <c:pt idx="1">
                  <c:v>117.98250000000019</c:v>
                </c:pt>
                <c:pt idx="2">
                  <c:v>70.017499999999984</c:v>
                </c:pt>
                <c:pt idx="3">
                  <c:v>57.962500000000034</c:v>
                </c:pt>
                <c:pt idx="4">
                  <c:v>39.677500000000123</c:v>
                </c:pt>
                <c:pt idx="5">
                  <c:v>115.46499999999997</c:v>
                </c:pt>
                <c:pt idx="6">
                  <c:v>67.265000000000043</c:v>
                </c:pt>
                <c:pt idx="7">
                  <c:v>57.352499999999964</c:v>
                </c:pt>
                <c:pt idx="8">
                  <c:v>13.5625</c:v>
                </c:pt>
                <c:pt idx="9">
                  <c:v>60.447500000000218</c:v>
                </c:pt>
                <c:pt idx="10">
                  <c:v>46.424999999999955</c:v>
                </c:pt>
                <c:pt idx="11">
                  <c:v>57.782500000000027</c:v>
                </c:pt>
                <c:pt idx="12">
                  <c:v>41.112499999999955</c:v>
                </c:pt>
                <c:pt idx="13">
                  <c:v>95.507499999999936</c:v>
                </c:pt>
                <c:pt idx="14">
                  <c:v>62.952499999999986</c:v>
                </c:pt>
                <c:pt idx="15">
                  <c:v>62.812500000000171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2A-4742-98FA-8CDBB7283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4375856"/>
        <c:axId val="649825136"/>
      </c:barChart>
      <c:catAx>
        <c:axId val="43437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25136"/>
        <c:crosses val="autoZero"/>
        <c:auto val="1"/>
        <c:lblAlgn val="ctr"/>
        <c:lblOffset val="100"/>
        <c:noMultiLvlLbl val="0"/>
      </c:catAx>
      <c:valAx>
        <c:axId val="64982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7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Thumb bent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thumb!$O$1</c:f>
              <c:strCache>
                <c:ptCount val="1"/>
                <c:pt idx="0">
                  <c:v>BENT  min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thumb!$G$2:$G$18</c:f>
              <c:numCache>
                <c:formatCode>General</c:formatCode>
                <c:ptCount val="17"/>
                <c:pt idx="0">
                  <c:v>96</c:v>
                </c:pt>
                <c:pt idx="1">
                  <c:v>87</c:v>
                </c:pt>
                <c:pt idx="2">
                  <c:v>85</c:v>
                </c:pt>
                <c:pt idx="3">
                  <c:v>90</c:v>
                </c:pt>
                <c:pt idx="4">
                  <c:v>92</c:v>
                </c:pt>
                <c:pt idx="5">
                  <c:v>97</c:v>
                </c:pt>
                <c:pt idx="6">
                  <c:v>81</c:v>
                </c:pt>
                <c:pt idx="7">
                  <c:v>100</c:v>
                </c:pt>
                <c:pt idx="8">
                  <c:v>78</c:v>
                </c:pt>
                <c:pt idx="9">
                  <c:v>88</c:v>
                </c:pt>
                <c:pt idx="10">
                  <c:v>99</c:v>
                </c:pt>
                <c:pt idx="11">
                  <c:v>89</c:v>
                </c:pt>
                <c:pt idx="12">
                  <c:v>87</c:v>
                </c:pt>
                <c:pt idx="13">
                  <c:v>79</c:v>
                </c:pt>
                <c:pt idx="14">
                  <c:v>79</c:v>
                </c:pt>
                <c:pt idx="15">
                  <c:v>95</c:v>
                </c:pt>
                <c:pt idx="16">
                  <c:v>81</c:v>
                </c:pt>
              </c:numCache>
            </c:numRef>
          </c:xVal>
          <c:yVal>
            <c:numRef>
              <c:f>thumb!$O$2:$O$18</c:f>
              <c:numCache>
                <c:formatCode>General</c:formatCode>
                <c:ptCount val="17"/>
                <c:pt idx="0">
                  <c:v>835.9</c:v>
                </c:pt>
                <c:pt idx="1">
                  <c:v>740.68</c:v>
                </c:pt>
                <c:pt idx="2">
                  <c:v>836.08</c:v>
                </c:pt>
                <c:pt idx="3">
                  <c:v>887.65</c:v>
                </c:pt>
                <c:pt idx="4">
                  <c:v>990.18</c:v>
                </c:pt>
                <c:pt idx="6">
                  <c:v>950.9</c:v>
                </c:pt>
                <c:pt idx="7">
                  <c:v>1125.56</c:v>
                </c:pt>
                <c:pt idx="8">
                  <c:v>966.84</c:v>
                </c:pt>
                <c:pt idx="9">
                  <c:v>886.54</c:v>
                </c:pt>
                <c:pt idx="10">
                  <c:v>795.47</c:v>
                </c:pt>
                <c:pt idx="11">
                  <c:v>937.47</c:v>
                </c:pt>
                <c:pt idx="12">
                  <c:v>888.23</c:v>
                </c:pt>
                <c:pt idx="13">
                  <c:v>884.7</c:v>
                </c:pt>
                <c:pt idx="14">
                  <c:v>1019.99</c:v>
                </c:pt>
                <c:pt idx="15">
                  <c:v>1001.06</c:v>
                </c:pt>
                <c:pt idx="16">
                  <c:v>924.17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E-4BAB-A087-7E0FCF901C5C}"/>
            </c:ext>
          </c:extLst>
        </c:ser>
        <c:ser>
          <c:idx val="1"/>
          <c:order val="1"/>
          <c:tx>
            <c:strRef>
              <c:f>thumb!$P$1</c:f>
              <c:strCache>
                <c:ptCount val="1"/>
                <c:pt idx="0">
                  <c:v>max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thumb!$G$2:$G$18</c:f>
              <c:numCache>
                <c:formatCode>General</c:formatCode>
                <c:ptCount val="17"/>
                <c:pt idx="0">
                  <c:v>96</c:v>
                </c:pt>
                <c:pt idx="1">
                  <c:v>87</c:v>
                </c:pt>
                <c:pt idx="2">
                  <c:v>85</c:v>
                </c:pt>
                <c:pt idx="3">
                  <c:v>90</c:v>
                </c:pt>
                <c:pt idx="4">
                  <c:v>92</c:v>
                </c:pt>
                <c:pt idx="5">
                  <c:v>97</c:v>
                </c:pt>
                <c:pt idx="6">
                  <c:v>81</c:v>
                </c:pt>
                <c:pt idx="7">
                  <c:v>100</c:v>
                </c:pt>
                <c:pt idx="8">
                  <c:v>78</c:v>
                </c:pt>
                <c:pt idx="9">
                  <c:v>88</c:v>
                </c:pt>
                <c:pt idx="10">
                  <c:v>99</c:v>
                </c:pt>
                <c:pt idx="11">
                  <c:v>89</c:v>
                </c:pt>
                <c:pt idx="12">
                  <c:v>87</c:v>
                </c:pt>
                <c:pt idx="13">
                  <c:v>79</c:v>
                </c:pt>
                <c:pt idx="14">
                  <c:v>79</c:v>
                </c:pt>
                <c:pt idx="15">
                  <c:v>95</c:v>
                </c:pt>
                <c:pt idx="16">
                  <c:v>81</c:v>
                </c:pt>
              </c:numCache>
            </c:numRef>
          </c:xVal>
          <c:yVal>
            <c:numRef>
              <c:f>thumb!$P$2:$P$18</c:f>
              <c:numCache>
                <c:formatCode>General</c:formatCode>
                <c:ptCount val="17"/>
                <c:pt idx="0">
                  <c:v>2714.92</c:v>
                </c:pt>
                <c:pt idx="1">
                  <c:v>2685.73</c:v>
                </c:pt>
                <c:pt idx="2">
                  <c:v>2463.96</c:v>
                </c:pt>
                <c:pt idx="3">
                  <c:v>2787.15</c:v>
                </c:pt>
                <c:pt idx="4">
                  <c:v>2840.48</c:v>
                </c:pt>
                <c:pt idx="6">
                  <c:v>2855.58</c:v>
                </c:pt>
                <c:pt idx="7">
                  <c:v>2567.4499999999998</c:v>
                </c:pt>
                <c:pt idx="8">
                  <c:v>2742.49</c:v>
                </c:pt>
                <c:pt idx="9">
                  <c:v>2716.4</c:v>
                </c:pt>
                <c:pt idx="10">
                  <c:v>2718.85</c:v>
                </c:pt>
                <c:pt idx="11">
                  <c:v>2866.74</c:v>
                </c:pt>
                <c:pt idx="12">
                  <c:v>2757.45</c:v>
                </c:pt>
                <c:pt idx="13">
                  <c:v>2708.95</c:v>
                </c:pt>
                <c:pt idx="14">
                  <c:v>2379.67</c:v>
                </c:pt>
                <c:pt idx="15">
                  <c:v>2908.32</c:v>
                </c:pt>
                <c:pt idx="16">
                  <c:v>2888.67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E-4BAB-A087-7E0FCF901C5C}"/>
            </c:ext>
          </c:extLst>
        </c:ser>
        <c:ser>
          <c:idx val="2"/>
          <c:order val="2"/>
          <c:tx>
            <c:strRef>
              <c:f>thumb!$Q$1</c:f>
              <c:strCache>
                <c:ptCount val="1"/>
                <c:pt idx="0">
                  <c:v>max-min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thumb!$G$2:$G$18</c:f>
              <c:numCache>
                <c:formatCode>General</c:formatCode>
                <c:ptCount val="17"/>
                <c:pt idx="0">
                  <c:v>96</c:v>
                </c:pt>
                <c:pt idx="1">
                  <c:v>87</c:v>
                </c:pt>
                <c:pt idx="2">
                  <c:v>85</c:v>
                </c:pt>
                <c:pt idx="3">
                  <c:v>90</c:v>
                </c:pt>
                <c:pt idx="4">
                  <c:v>92</c:v>
                </c:pt>
                <c:pt idx="5">
                  <c:v>97</c:v>
                </c:pt>
                <c:pt idx="6">
                  <c:v>81</c:v>
                </c:pt>
                <c:pt idx="7">
                  <c:v>100</c:v>
                </c:pt>
                <c:pt idx="8">
                  <c:v>78</c:v>
                </c:pt>
                <c:pt idx="9">
                  <c:v>88</c:v>
                </c:pt>
                <c:pt idx="10">
                  <c:v>99</c:v>
                </c:pt>
                <c:pt idx="11">
                  <c:v>89</c:v>
                </c:pt>
                <c:pt idx="12">
                  <c:v>87</c:v>
                </c:pt>
                <c:pt idx="13">
                  <c:v>79</c:v>
                </c:pt>
                <c:pt idx="14">
                  <c:v>79</c:v>
                </c:pt>
                <c:pt idx="15">
                  <c:v>95</c:v>
                </c:pt>
                <c:pt idx="16">
                  <c:v>81</c:v>
                </c:pt>
              </c:numCache>
            </c:numRef>
          </c:xVal>
          <c:yVal>
            <c:numRef>
              <c:f>thumb!$Q$2:$Q$18</c:f>
              <c:numCache>
                <c:formatCode>General</c:formatCode>
                <c:ptCount val="17"/>
                <c:pt idx="0">
                  <c:v>1879.02</c:v>
                </c:pt>
                <c:pt idx="1">
                  <c:v>1945.0500000000002</c:v>
                </c:pt>
                <c:pt idx="2">
                  <c:v>1627.88</c:v>
                </c:pt>
                <c:pt idx="3">
                  <c:v>1899.5</c:v>
                </c:pt>
                <c:pt idx="4">
                  <c:v>1850.3000000000002</c:v>
                </c:pt>
                <c:pt idx="6">
                  <c:v>1904.6799999999998</c:v>
                </c:pt>
                <c:pt idx="7">
                  <c:v>1441.8899999999999</c:v>
                </c:pt>
                <c:pt idx="8">
                  <c:v>1775.6499999999996</c:v>
                </c:pt>
                <c:pt idx="9">
                  <c:v>1829.8600000000001</c:v>
                </c:pt>
                <c:pt idx="10">
                  <c:v>1923.3799999999999</c:v>
                </c:pt>
                <c:pt idx="11">
                  <c:v>1929.2699999999998</c:v>
                </c:pt>
                <c:pt idx="12">
                  <c:v>1869.2199999999998</c:v>
                </c:pt>
                <c:pt idx="13">
                  <c:v>1824.2499999999998</c:v>
                </c:pt>
                <c:pt idx="14">
                  <c:v>1359.68</c:v>
                </c:pt>
                <c:pt idx="15">
                  <c:v>1907.2600000000002</c:v>
                </c:pt>
                <c:pt idx="16">
                  <c:v>1964.5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E-4BAB-A087-7E0FCF901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034368"/>
        <c:axId val="94031416"/>
      </c:scatterChart>
      <c:valAx>
        <c:axId val="9403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031416"/>
        <c:crosses val="autoZero"/>
        <c:crossBetween val="midCat"/>
      </c:valAx>
      <c:valAx>
        <c:axId val="94031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034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Thumb split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thumb!$AF$1</c:f>
              <c:strCache>
                <c:ptCount val="1"/>
                <c:pt idx="0">
                  <c:v>Smin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thumb!$G$2:$G$18</c:f>
              <c:numCache>
                <c:formatCode>General</c:formatCode>
                <c:ptCount val="17"/>
                <c:pt idx="0">
                  <c:v>96</c:v>
                </c:pt>
                <c:pt idx="1">
                  <c:v>87</c:v>
                </c:pt>
                <c:pt idx="2">
                  <c:v>85</c:v>
                </c:pt>
                <c:pt idx="3">
                  <c:v>90</c:v>
                </c:pt>
                <c:pt idx="4">
                  <c:v>92</c:v>
                </c:pt>
                <c:pt idx="5">
                  <c:v>97</c:v>
                </c:pt>
                <c:pt idx="6">
                  <c:v>81</c:v>
                </c:pt>
                <c:pt idx="7">
                  <c:v>100</c:v>
                </c:pt>
                <c:pt idx="8">
                  <c:v>78</c:v>
                </c:pt>
                <c:pt idx="9">
                  <c:v>88</c:v>
                </c:pt>
                <c:pt idx="10">
                  <c:v>99</c:v>
                </c:pt>
                <c:pt idx="11">
                  <c:v>89</c:v>
                </c:pt>
                <c:pt idx="12">
                  <c:v>87</c:v>
                </c:pt>
                <c:pt idx="13">
                  <c:v>79</c:v>
                </c:pt>
                <c:pt idx="14">
                  <c:v>79</c:v>
                </c:pt>
                <c:pt idx="15">
                  <c:v>95</c:v>
                </c:pt>
                <c:pt idx="16">
                  <c:v>81</c:v>
                </c:pt>
              </c:numCache>
            </c:numRef>
          </c:xVal>
          <c:yVal>
            <c:numRef>
              <c:f>thumb!$AF$2:$AF$18</c:f>
              <c:numCache>
                <c:formatCode>General</c:formatCode>
                <c:ptCount val="17"/>
                <c:pt idx="0">
                  <c:v>1434.73</c:v>
                </c:pt>
                <c:pt idx="1">
                  <c:v>958.55</c:v>
                </c:pt>
                <c:pt idx="2">
                  <c:v>1619.68</c:v>
                </c:pt>
                <c:pt idx="3">
                  <c:v>1082.95</c:v>
                </c:pt>
                <c:pt idx="4">
                  <c:v>1039.3900000000001</c:v>
                </c:pt>
                <c:pt idx="6">
                  <c:v>1009.13</c:v>
                </c:pt>
                <c:pt idx="7">
                  <c:v>1398.42</c:v>
                </c:pt>
                <c:pt idx="8">
                  <c:v>895.52</c:v>
                </c:pt>
                <c:pt idx="9">
                  <c:v>1828.49</c:v>
                </c:pt>
                <c:pt idx="10">
                  <c:v>1435.89</c:v>
                </c:pt>
                <c:pt idx="11">
                  <c:v>1447.88</c:v>
                </c:pt>
                <c:pt idx="12">
                  <c:v>983.94</c:v>
                </c:pt>
                <c:pt idx="13">
                  <c:v>1695.02</c:v>
                </c:pt>
                <c:pt idx="14">
                  <c:v>1604.96</c:v>
                </c:pt>
                <c:pt idx="15">
                  <c:v>1613.89</c:v>
                </c:pt>
                <c:pt idx="16">
                  <c:v>1640.04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2-4F53-8EEE-FC49A8F58520}"/>
            </c:ext>
          </c:extLst>
        </c:ser>
        <c:ser>
          <c:idx val="1"/>
          <c:order val="1"/>
          <c:tx>
            <c:strRef>
              <c:f>thumb!$AG$1</c:f>
              <c:strCache>
                <c:ptCount val="1"/>
                <c:pt idx="0">
                  <c:v>Smax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thumb!$G$2:$G$18</c:f>
              <c:numCache>
                <c:formatCode>General</c:formatCode>
                <c:ptCount val="17"/>
                <c:pt idx="0">
                  <c:v>96</c:v>
                </c:pt>
                <c:pt idx="1">
                  <c:v>87</c:v>
                </c:pt>
                <c:pt idx="2">
                  <c:v>85</c:v>
                </c:pt>
                <c:pt idx="3">
                  <c:v>90</c:v>
                </c:pt>
                <c:pt idx="4">
                  <c:v>92</c:v>
                </c:pt>
                <c:pt idx="5">
                  <c:v>97</c:v>
                </c:pt>
                <c:pt idx="6">
                  <c:v>81</c:v>
                </c:pt>
                <c:pt idx="7">
                  <c:v>100</c:v>
                </c:pt>
                <c:pt idx="8">
                  <c:v>78</c:v>
                </c:pt>
                <c:pt idx="9">
                  <c:v>88</c:v>
                </c:pt>
                <c:pt idx="10">
                  <c:v>99</c:v>
                </c:pt>
                <c:pt idx="11">
                  <c:v>89</c:v>
                </c:pt>
                <c:pt idx="12">
                  <c:v>87</c:v>
                </c:pt>
                <c:pt idx="13">
                  <c:v>79</c:v>
                </c:pt>
                <c:pt idx="14">
                  <c:v>79</c:v>
                </c:pt>
                <c:pt idx="15">
                  <c:v>95</c:v>
                </c:pt>
                <c:pt idx="16">
                  <c:v>81</c:v>
                </c:pt>
              </c:numCache>
            </c:numRef>
          </c:xVal>
          <c:yVal>
            <c:numRef>
              <c:f>thumb!$AG$2:$AG$18</c:f>
              <c:numCache>
                <c:formatCode>General</c:formatCode>
                <c:ptCount val="17"/>
                <c:pt idx="0">
                  <c:v>2165.94</c:v>
                </c:pt>
                <c:pt idx="1">
                  <c:v>1946.92</c:v>
                </c:pt>
                <c:pt idx="2">
                  <c:v>2106.29</c:v>
                </c:pt>
                <c:pt idx="3">
                  <c:v>2088.94</c:v>
                </c:pt>
                <c:pt idx="4">
                  <c:v>1939.34</c:v>
                </c:pt>
                <c:pt idx="6">
                  <c:v>2243.1999999999998</c:v>
                </c:pt>
                <c:pt idx="7">
                  <c:v>2117.69</c:v>
                </c:pt>
                <c:pt idx="8">
                  <c:v>2165.84</c:v>
                </c:pt>
                <c:pt idx="9">
                  <c:v>2074.5500000000002</c:v>
                </c:pt>
                <c:pt idx="10">
                  <c:v>2195.4</c:v>
                </c:pt>
                <c:pt idx="11">
                  <c:v>2244.0300000000002</c:v>
                </c:pt>
                <c:pt idx="12">
                  <c:v>1951.91</c:v>
                </c:pt>
                <c:pt idx="13">
                  <c:v>2106.15</c:v>
                </c:pt>
                <c:pt idx="14">
                  <c:v>2144.3000000000002</c:v>
                </c:pt>
                <c:pt idx="15">
                  <c:v>2159.92</c:v>
                </c:pt>
                <c:pt idx="16">
                  <c:v>1981.13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32-4F53-8EEE-FC49A8F58520}"/>
            </c:ext>
          </c:extLst>
        </c:ser>
        <c:ser>
          <c:idx val="2"/>
          <c:order val="2"/>
          <c:tx>
            <c:strRef>
              <c:f>thumb!$AQ$1</c:f>
              <c:strCache>
                <c:ptCount val="1"/>
                <c:pt idx="0">
                  <c:v>NEW Smin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thumb!$G$2:$G$18</c:f>
              <c:numCache>
                <c:formatCode>General</c:formatCode>
                <c:ptCount val="17"/>
                <c:pt idx="0">
                  <c:v>96</c:v>
                </c:pt>
                <c:pt idx="1">
                  <c:v>87</c:v>
                </c:pt>
                <c:pt idx="2">
                  <c:v>85</c:v>
                </c:pt>
                <c:pt idx="3">
                  <c:v>90</c:v>
                </c:pt>
                <c:pt idx="4">
                  <c:v>92</c:v>
                </c:pt>
                <c:pt idx="5">
                  <c:v>97</c:v>
                </c:pt>
                <c:pt idx="6">
                  <c:v>81</c:v>
                </c:pt>
                <c:pt idx="7">
                  <c:v>100</c:v>
                </c:pt>
                <c:pt idx="8">
                  <c:v>78</c:v>
                </c:pt>
                <c:pt idx="9">
                  <c:v>88</c:v>
                </c:pt>
                <c:pt idx="10">
                  <c:v>99</c:v>
                </c:pt>
                <c:pt idx="11">
                  <c:v>89</c:v>
                </c:pt>
                <c:pt idx="12">
                  <c:v>87</c:v>
                </c:pt>
                <c:pt idx="13">
                  <c:v>79</c:v>
                </c:pt>
                <c:pt idx="14">
                  <c:v>79</c:v>
                </c:pt>
                <c:pt idx="15">
                  <c:v>95</c:v>
                </c:pt>
                <c:pt idx="16">
                  <c:v>81</c:v>
                </c:pt>
              </c:numCache>
            </c:numRef>
          </c:xVal>
          <c:yVal>
            <c:numRef>
              <c:f>thumb!$AQ$2:$AQ$18</c:f>
              <c:numCache>
                <c:formatCode>General</c:formatCode>
                <c:ptCount val="17"/>
                <c:pt idx="0">
                  <c:v>720</c:v>
                </c:pt>
                <c:pt idx="1">
                  <c:v>570</c:v>
                </c:pt>
                <c:pt idx="2">
                  <c:v>490</c:v>
                </c:pt>
                <c:pt idx="3">
                  <c:v>700</c:v>
                </c:pt>
                <c:pt idx="4">
                  <c:v>740</c:v>
                </c:pt>
                <c:pt idx="5">
                  <c:v>600</c:v>
                </c:pt>
                <c:pt idx="6">
                  <c:v>530</c:v>
                </c:pt>
                <c:pt idx="9">
                  <c:v>800</c:v>
                </c:pt>
                <c:pt idx="11">
                  <c:v>670</c:v>
                </c:pt>
                <c:pt idx="12">
                  <c:v>680</c:v>
                </c:pt>
                <c:pt idx="14">
                  <c:v>840</c:v>
                </c:pt>
                <c:pt idx="15">
                  <c:v>700</c:v>
                </c:pt>
                <c:pt idx="16">
                  <c:v>790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32-4F53-8EEE-FC49A8F58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274408"/>
        <c:axId val="583276376"/>
      </c:scatterChart>
      <c:valAx>
        <c:axId val="583274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276376"/>
        <c:crosses val="autoZero"/>
        <c:crossBetween val="midCat"/>
      </c:valAx>
      <c:valAx>
        <c:axId val="58327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274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Thumb Rotation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thumb!$AR$1</c:f>
              <c:strCache>
                <c:ptCount val="1"/>
                <c:pt idx="0">
                  <c:v>NEW Rmin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thumb!$G$2:$G$18</c:f>
              <c:numCache>
                <c:formatCode>General</c:formatCode>
                <c:ptCount val="17"/>
                <c:pt idx="0">
                  <c:v>96</c:v>
                </c:pt>
                <c:pt idx="1">
                  <c:v>87</c:v>
                </c:pt>
                <c:pt idx="2">
                  <c:v>85</c:v>
                </c:pt>
                <c:pt idx="3">
                  <c:v>90</c:v>
                </c:pt>
                <c:pt idx="4">
                  <c:v>92</c:v>
                </c:pt>
                <c:pt idx="5">
                  <c:v>97</c:v>
                </c:pt>
                <c:pt idx="6">
                  <c:v>81</c:v>
                </c:pt>
                <c:pt idx="7">
                  <c:v>100</c:v>
                </c:pt>
                <c:pt idx="8">
                  <c:v>78</c:v>
                </c:pt>
                <c:pt idx="9">
                  <c:v>88</c:v>
                </c:pt>
                <c:pt idx="10">
                  <c:v>99</c:v>
                </c:pt>
                <c:pt idx="11">
                  <c:v>89</c:v>
                </c:pt>
                <c:pt idx="12">
                  <c:v>87</c:v>
                </c:pt>
                <c:pt idx="13">
                  <c:v>79</c:v>
                </c:pt>
                <c:pt idx="14">
                  <c:v>79</c:v>
                </c:pt>
                <c:pt idx="15">
                  <c:v>95</c:v>
                </c:pt>
                <c:pt idx="16">
                  <c:v>81</c:v>
                </c:pt>
              </c:numCache>
            </c:numRef>
          </c:xVal>
          <c:yVal>
            <c:numRef>
              <c:f>thumb!$AR$2:$AR$18</c:f>
              <c:numCache>
                <c:formatCode>General</c:formatCode>
                <c:ptCount val="17"/>
                <c:pt idx="0">
                  <c:v>2010</c:v>
                </c:pt>
                <c:pt idx="1">
                  <c:v>2022</c:v>
                </c:pt>
                <c:pt idx="2">
                  <c:v>1985</c:v>
                </c:pt>
                <c:pt idx="3">
                  <c:v>1980</c:v>
                </c:pt>
                <c:pt idx="4">
                  <c:v>2000</c:v>
                </c:pt>
                <c:pt idx="5">
                  <c:v>1960</c:v>
                </c:pt>
                <c:pt idx="6">
                  <c:v>1960</c:v>
                </c:pt>
                <c:pt idx="9">
                  <c:v>2000</c:v>
                </c:pt>
                <c:pt idx="11">
                  <c:v>1990</c:v>
                </c:pt>
                <c:pt idx="12">
                  <c:v>1960</c:v>
                </c:pt>
                <c:pt idx="14">
                  <c:v>1960</c:v>
                </c:pt>
                <c:pt idx="15">
                  <c:v>1985</c:v>
                </c:pt>
                <c:pt idx="16">
                  <c:v>1960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75-4DF5-9D7D-CBBD7A885BAF}"/>
            </c:ext>
          </c:extLst>
        </c:ser>
        <c:ser>
          <c:idx val="1"/>
          <c:order val="1"/>
          <c:tx>
            <c:strRef>
              <c:f>thumb!$AS$1</c:f>
              <c:strCache>
                <c:ptCount val="1"/>
                <c:pt idx="0">
                  <c:v>NEW Rmax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thumb!$G$2:$G$18</c:f>
              <c:numCache>
                <c:formatCode>General</c:formatCode>
                <c:ptCount val="17"/>
                <c:pt idx="0">
                  <c:v>96</c:v>
                </c:pt>
                <c:pt idx="1">
                  <c:v>87</c:v>
                </c:pt>
                <c:pt idx="2">
                  <c:v>85</c:v>
                </c:pt>
                <c:pt idx="3">
                  <c:v>90</c:v>
                </c:pt>
                <c:pt idx="4">
                  <c:v>92</c:v>
                </c:pt>
                <c:pt idx="5">
                  <c:v>97</c:v>
                </c:pt>
                <c:pt idx="6">
                  <c:v>81</c:v>
                </c:pt>
                <c:pt idx="7">
                  <c:v>100</c:v>
                </c:pt>
                <c:pt idx="8">
                  <c:v>78</c:v>
                </c:pt>
                <c:pt idx="9">
                  <c:v>88</c:v>
                </c:pt>
                <c:pt idx="10">
                  <c:v>99</c:v>
                </c:pt>
                <c:pt idx="11">
                  <c:v>89</c:v>
                </c:pt>
                <c:pt idx="12">
                  <c:v>87</c:v>
                </c:pt>
                <c:pt idx="13">
                  <c:v>79</c:v>
                </c:pt>
                <c:pt idx="14">
                  <c:v>79</c:v>
                </c:pt>
                <c:pt idx="15">
                  <c:v>95</c:v>
                </c:pt>
                <c:pt idx="16">
                  <c:v>81</c:v>
                </c:pt>
              </c:numCache>
            </c:numRef>
          </c:xVal>
          <c:yVal>
            <c:numRef>
              <c:f>thumb!$AS$2:$AS$18</c:f>
              <c:numCache>
                <c:formatCode>General</c:formatCode>
                <c:ptCount val="17"/>
                <c:pt idx="0">
                  <c:v>2260</c:v>
                </c:pt>
                <c:pt idx="1">
                  <c:v>2270</c:v>
                </c:pt>
                <c:pt idx="2">
                  <c:v>2220</c:v>
                </c:pt>
                <c:pt idx="3">
                  <c:v>2320</c:v>
                </c:pt>
                <c:pt idx="4">
                  <c:v>2390</c:v>
                </c:pt>
                <c:pt idx="5">
                  <c:v>2230</c:v>
                </c:pt>
                <c:pt idx="6">
                  <c:v>2250</c:v>
                </c:pt>
                <c:pt idx="9">
                  <c:v>2120</c:v>
                </c:pt>
                <c:pt idx="11">
                  <c:v>2160</c:v>
                </c:pt>
                <c:pt idx="12">
                  <c:v>2170</c:v>
                </c:pt>
                <c:pt idx="14">
                  <c:v>2170</c:v>
                </c:pt>
                <c:pt idx="15">
                  <c:v>2250</c:v>
                </c:pt>
                <c:pt idx="16">
                  <c:v>2100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75-4DF5-9D7D-CBBD7A885BAF}"/>
            </c:ext>
          </c:extLst>
        </c:ser>
        <c:ser>
          <c:idx val="2"/>
          <c:order val="2"/>
          <c:tx>
            <c:strRef>
              <c:f>thumb!$AT$1</c:f>
              <c:strCache>
                <c:ptCount val="1"/>
                <c:pt idx="0">
                  <c:v>NEW Rmax-Rmin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thumb!$G$2:$G$18</c:f>
              <c:numCache>
                <c:formatCode>General</c:formatCode>
                <c:ptCount val="17"/>
                <c:pt idx="0">
                  <c:v>96</c:v>
                </c:pt>
                <c:pt idx="1">
                  <c:v>87</c:v>
                </c:pt>
                <c:pt idx="2">
                  <c:v>85</c:v>
                </c:pt>
                <c:pt idx="3">
                  <c:v>90</c:v>
                </c:pt>
                <c:pt idx="4">
                  <c:v>92</c:v>
                </c:pt>
                <c:pt idx="5">
                  <c:v>97</c:v>
                </c:pt>
                <c:pt idx="6">
                  <c:v>81</c:v>
                </c:pt>
                <c:pt idx="7">
                  <c:v>100</c:v>
                </c:pt>
                <c:pt idx="8">
                  <c:v>78</c:v>
                </c:pt>
                <c:pt idx="9">
                  <c:v>88</c:v>
                </c:pt>
                <c:pt idx="10">
                  <c:v>99</c:v>
                </c:pt>
                <c:pt idx="11">
                  <c:v>89</c:v>
                </c:pt>
                <c:pt idx="12">
                  <c:v>87</c:v>
                </c:pt>
                <c:pt idx="13">
                  <c:v>79</c:v>
                </c:pt>
                <c:pt idx="14">
                  <c:v>79</c:v>
                </c:pt>
                <c:pt idx="15">
                  <c:v>95</c:v>
                </c:pt>
                <c:pt idx="16">
                  <c:v>81</c:v>
                </c:pt>
              </c:numCache>
            </c:numRef>
          </c:xVal>
          <c:yVal>
            <c:numRef>
              <c:f>thumb!$AT$2:$AT$18</c:f>
              <c:numCache>
                <c:formatCode>General</c:formatCode>
                <c:ptCount val="17"/>
                <c:pt idx="0">
                  <c:v>250</c:v>
                </c:pt>
                <c:pt idx="1">
                  <c:v>248</c:v>
                </c:pt>
                <c:pt idx="2">
                  <c:v>235</c:v>
                </c:pt>
                <c:pt idx="3">
                  <c:v>340</c:v>
                </c:pt>
                <c:pt idx="4">
                  <c:v>390</c:v>
                </c:pt>
                <c:pt idx="5">
                  <c:v>270</c:v>
                </c:pt>
                <c:pt idx="6">
                  <c:v>290</c:v>
                </c:pt>
                <c:pt idx="9">
                  <c:v>120</c:v>
                </c:pt>
                <c:pt idx="11">
                  <c:v>170</c:v>
                </c:pt>
                <c:pt idx="12">
                  <c:v>210</c:v>
                </c:pt>
                <c:pt idx="14">
                  <c:v>210</c:v>
                </c:pt>
                <c:pt idx="15">
                  <c:v>265</c:v>
                </c:pt>
                <c:pt idx="16">
                  <c:v>140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75-4DF5-9D7D-CBBD7A88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635920"/>
        <c:axId val="503637560"/>
      </c:scatterChart>
      <c:valAx>
        <c:axId val="503635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37560"/>
        <c:crosses val="autoZero"/>
        <c:crossBetween val="midCat"/>
      </c:valAx>
      <c:valAx>
        <c:axId val="50363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35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analysis!$F$1</c:f>
              <c:strCache>
                <c:ptCount val="1"/>
                <c:pt idx="0">
                  <c:v>cos 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analysis!$F$2:$F$64</c:f>
              <c:numCache>
                <c:formatCode>General</c:formatCode>
                <c:ptCount val="63"/>
                <c:pt idx="0">
                  <c:v>0.72056687594171631</c:v>
                </c:pt>
                <c:pt idx="1">
                  <c:v>0.70117657315932935</c:v>
                </c:pt>
                <c:pt idx="2">
                  <c:v>0.69086298573906968</c:v>
                </c:pt>
                <c:pt idx="3">
                  <c:v>0.61456967614192626</c:v>
                </c:pt>
                <c:pt idx="4">
                  <c:v>0.73388840025417745</c:v>
                </c:pt>
                <c:pt idx="5">
                  <c:v>0.7272747805264721</c:v>
                </c:pt>
                <c:pt idx="6">
                  <c:v>0.7927553150815887</c:v>
                </c:pt>
                <c:pt idx="7">
                  <c:v>0.85121693981571489</c:v>
                </c:pt>
                <c:pt idx="8">
                  <c:v>0.70703370455252179</c:v>
                </c:pt>
                <c:pt idx="9">
                  <c:v>0.65808586936451741</c:v>
                </c:pt>
                <c:pt idx="10">
                  <c:v>0.62955983322681341</c:v>
                </c:pt>
                <c:pt idx="11">
                  <c:v>0.86923903478116937</c:v>
                </c:pt>
                <c:pt idx="12">
                  <c:v>0.72768087407778737</c:v>
                </c:pt>
                <c:pt idx="13">
                  <c:v>0.64057555761472806</c:v>
                </c:pt>
                <c:pt idx="14">
                  <c:v>0.69510966212760705</c:v>
                </c:pt>
                <c:pt idx="15">
                  <c:v>0.68090927421023839</c:v>
                </c:pt>
                <c:pt idx="16">
                  <c:v>0.61762580620925822</c:v>
                </c:pt>
                <c:pt idx="17">
                  <c:v>0.61379863372646004</c:v>
                </c:pt>
                <c:pt idx="18">
                  <c:v>0.68485549524510358</c:v>
                </c:pt>
                <c:pt idx="19">
                  <c:v>0.69454888424832695</c:v>
                </c:pt>
                <c:pt idx="20">
                  <c:v>0.54571485445120282</c:v>
                </c:pt>
                <c:pt idx="21">
                  <c:v>0.622696221501994</c:v>
                </c:pt>
                <c:pt idx="22">
                  <c:v>0.63634567407265163</c:v>
                </c:pt>
                <c:pt idx="23">
                  <c:v>0.67101625652047558</c:v>
                </c:pt>
                <c:pt idx="24">
                  <c:v>0.59251928416944222</c:v>
                </c:pt>
                <c:pt idx="25">
                  <c:v>0.62390103533125185</c:v>
                </c:pt>
                <c:pt idx="26">
                  <c:v>0.64846953732827506</c:v>
                </c:pt>
                <c:pt idx="27">
                  <c:v>0.68967342401638698</c:v>
                </c:pt>
                <c:pt idx="28">
                  <c:v>0.63633117989180488</c:v>
                </c:pt>
                <c:pt idx="29">
                  <c:v>0.58952589841995162</c:v>
                </c:pt>
                <c:pt idx="30">
                  <c:v>0.71369214506990897</c:v>
                </c:pt>
                <c:pt idx="31">
                  <c:v>0.67894594922197382</c:v>
                </c:pt>
                <c:pt idx="32">
                  <c:v>0.67561444974672713</c:v>
                </c:pt>
                <c:pt idx="33">
                  <c:v>0.7289490767383513</c:v>
                </c:pt>
                <c:pt idx="34">
                  <c:v>0.60522630884753326</c:v>
                </c:pt>
                <c:pt idx="35">
                  <c:v>0.63182718017273864</c:v>
                </c:pt>
                <c:pt idx="36">
                  <c:v>0.75322720793269737</c:v>
                </c:pt>
                <c:pt idx="37">
                  <c:v>0.5284238187773066</c:v>
                </c:pt>
                <c:pt idx="38">
                  <c:v>0.38981080994522227</c:v>
                </c:pt>
                <c:pt idx="39">
                  <c:v>0.75099832118056031</c:v>
                </c:pt>
                <c:pt idx="40">
                  <c:v>0.64381615500029321</c:v>
                </c:pt>
                <c:pt idx="41">
                  <c:v>0.68369086204228913</c:v>
                </c:pt>
                <c:pt idx="42">
                  <c:v>0.68459531695970266</c:v>
                </c:pt>
                <c:pt idx="43">
                  <c:v>0.62117340140637012</c:v>
                </c:pt>
                <c:pt idx="44">
                  <c:v>0.81878545762458776</c:v>
                </c:pt>
                <c:pt idx="45">
                  <c:v>0.72677164507899505</c:v>
                </c:pt>
                <c:pt idx="46">
                  <c:v>0.50041487677948748</c:v>
                </c:pt>
                <c:pt idx="47">
                  <c:v>0.75128360260005467</c:v>
                </c:pt>
                <c:pt idx="48">
                  <c:v>0.60656412290588713</c:v>
                </c:pt>
                <c:pt idx="49">
                  <c:v>0.67137838549668361</c:v>
                </c:pt>
                <c:pt idx="50">
                  <c:v>0.74352564971739277</c:v>
                </c:pt>
                <c:pt idx="51">
                  <c:v>0.64842662698075337</c:v>
                </c:pt>
                <c:pt idx="52">
                  <c:v>0.70361730210545115</c:v>
                </c:pt>
                <c:pt idx="53">
                  <c:v>0.7888740910353842</c:v>
                </c:pt>
                <c:pt idx="54">
                  <c:v>0.62013477275367546</c:v>
                </c:pt>
                <c:pt idx="55">
                  <c:v>0.71391584697201682</c:v>
                </c:pt>
                <c:pt idx="56">
                  <c:v>0.6702915182381548</c:v>
                </c:pt>
                <c:pt idx="57">
                  <c:v>0.81698543910652888</c:v>
                </c:pt>
                <c:pt idx="58">
                  <c:v>0.58926026957254984</c:v>
                </c:pt>
                <c:pt idx="59">
                  <c:v>0.49883610623797736</c:v>
                </c:pt>
                <c:pt idx="60">
                  <c:v>0.60545064298257856</c:v>
                </c:pt>
                <c:pt idx="61">
                  <c:v>0.66209428533779002</c:v>
                </c:pt>
                <c:pt idx="62">
                  <c:v>0.11052668762004086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5A-43B9-84B4-21C2D733D90F}"/>
            </c:ext>
          </c:extLst>
        </c:ser>
        <c:ser>
          <c:idx val="1"/>
          <c:order val="1"/>
          <c:tx>
            <c:strRef>
              <c:f>analysis!$R$55</c:f>
              <c:strCache>
                <c:ptCount val="1"/>
                <c:pt idx="0">
                  <c:v>Predicted cos min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analysis!$R$56:$R$118</c:f>
              <c:numCache>
                <c:formatCode>General</c:formatCode>
                <c:ptCount val="63"/>
                <c:pt idx="0">
                  <c:v>0.74390743586169583</c:v>
                </c:pt>
                <c:pt idx="1">
                  <c:v>0.71844871737143379</c:v>
                </c:pt>
                <c:pt idx="2">
                  <c:v>0.71843743131985027</c:v>
                </c:pt>
                <c:pt idx="3">
                  <c:v>0.68763097742405865</c:v>
                </c:pt>
                <c:pt idx="4">
                  <c:v>0.7046414087859203</c:v>
                </c:pt>
                <c:pt idx="5">
                  <c:v>0.69239280947565551</c:v>
                </c:pt>
                <c:pt idx="6">
                  <c:v>0.70629698383910522</c:v>
                </c:pt>
                <c:pt idx="7">
                  <c:v>0.70331586999733742</c:v>
                </c:pt>
                <c:pt idx="8">
                  <c:v>0.71319784774384065</c:v>
                </c:pt>
                <c:pt idx="9">
                  <c:v>0.71405692105959395</c:v>
                </c:pt>
                <c:pt idx="10">
                  <c:v>0.69796813459180795</c:v>
                </c:pt>
                <c:pt idx="11">
                  <c:v>0.66567112377513238</c:v>
                </c:pt>
                <c:pt idx="12">
                  <c:v>0.67020536611610615</c:v>
                </c:pt>
                <c:pt idx="13">
                  <c:v>0.71042733228557153</c:v>
                </c:pt>
                <c:pt idx="14">
                  <c:v>0.69135743197601762</c:v>
                </c:pt>
                <c:pt idx="15">
                  <c:v>0.68733523535907104</c:v>
                </c:pt>
                <c:pt idx="16">
                  <c:v>0.71042733228557153</c:v>
                </c:pt>
                <c:pt idx="17">
                  <c:v>0.67796530333659499</c:v>
                </c:pt>
                <c:pt idx="18">
                  <c:v>0.67227054033933931</c:v>
                </c:pt>
                <c:pt idx="19">
                  <c:v>0.66761686011726229</c:v>
                </c:pt>
                <c:pt idx="20">
                  <c:v>0.66996649035389966</c:v>
                </c:pt>
                <c:pt idx="21">
                  <c:v>0.6776638559960666</c:v>
                </c:pt>
                <c:pt idx="22">
                  <c:v>0.67215110245823606</c:v>
                </c:pt>
                <c:pt idx="23">
                  <c:v>0.69444669764730516</c:v>
                </c:pt>
                <c:pt idx="24">
                  <c:v>0.66749742223615904</c:v>
                </c:pt>
                <c:pt idx="25">
                  <c:v>0.65140863576837293</c:v>
                </c:pt>
                <c:pt idx="26">
                  <c:v>0.69110156488668673</c:v>
                </c:pt>
                <c:pt idx="27">
                  <c:v>0.66686593863102861</c:v>
                </c:pt>
                <c:pt idx="28">
                  <c:v>0.67019408006452263</c:v>
                </c:pt>
                <c:pt idx="29">
                  <c:v>0.65565842209594238</c:v>
                </c:pt>
                <c:pt idx="30">
                  <c:v>0.67260628187948213</c:v>
                </c:pt>
                <c:pt idx="31">
                  <c:v>0.66893111285426177</c:v>
                </c:pt>
                <c:pt idx="32">
                  <c:v>0.66576798955306871</c:v>
                </c:pt>
                <c:pt idx="33">
                  <c:v>0.66409542317275949</c:v>
                </c:pt>
                <c:pt idx="34">
                  <c:v>0.65053827640103601</c:v>
                </c:pt>
                <c:pt idx="35">
                  <c:v>0.66732111805227468</c:v>
                </c:pt>
                <c:pt idx="36">
                  <c:v>0.65456047301798248</c:v>
                </c:pt>
                <c:pt idx="37">
                  <c:v>0.64737515309984295</c:v>
                </c:pt>
                <c:pt idx="38">
                  <c:v>0.65323493422939949</c:v>
                </c:pt>
                <c:pt idx="39">
                  <c:v>0.64858125400732258</c:v>
                </c:pt>
                <c:pt idx="40">
                  <c:v>0.64621463244356092</c:v>
                </c:pt>
                <c:pt idx="41">
                  <c:v>0.65679066537351671</c:v>
                </c:pt>
                <c:pt idx="42">
                  <c:v>0.64932088944197275</c:v>
                </c:pt>
                <c:pt idx="43">
                  <c:v>0.63558173321082401</c:v>
                </c:pt>
                <c:pt idx="44">
                  <c:v>0.66120546983338713</c:v>
                </c:pt>
                <c:pt idx="45">
                  <c:v>0.64856996795573918</c:v>
                </c:pt>
                <c:pt idx="46">
                  <c:v>0.64087260231357224</c:v>
                </c:pt>
                <c:pt idx="47">
                  <c:v>0.63948449194666723</c:v>
                </c:pt>
                <c:pt idx="48">
                  <c:v>0.63568988504034385</c:v>
                </c:pt>
                <c:pt idx="49">
                  <c:v>0.64361484039313355</c:v>
                </c:pt>
                <c:pt idx="50">
                  <c:v>0.64384243010375664</c:v>
                </c:pt>
                <c:pt idx="51">
                  <c:v>0.62775364363597053</c:v>
                </c:pt>
                <c:pt idx="52">
                  <c:v>0.61131782957645797</c:v>
                </c:pt>
                <c:pt idx="53">
                  <c:v>0.62395903672964692</c:v>
                </c:pt>
                <c:pt idx="54">
                  <c:v>0.61291653832686177</c:v>
                </c:pt>
                <c:pt idx="55">
                  <c:v>0.6026875329886322</c:v>
                </c:pt>
                <c:pt idx="56">
                  <c:v>0.60854731411818896</c:v>
                </c:pt>
                <c:pt idx="57">
                  <c:v>0.60826285810478475</c:v>
                </c:pt>
                <c:pt idx="58">
                  <c:v>0.59705534156969853</c:v>
                </c:pt>
                <c:pt idx="59">
                  <c:v>0.60412122360673493</c:v>
                </c:pt>
                <c:pt idx="60">
                  <c:v>0.60342716842328248</c:v>
                </c:pt>
                <c:pt idx="61">
                  <c:v>0.60549234264651564</c:v>
                </c:pt>
                <c:pt idx="62">
                  <c:v>0.57439014668573629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5A-43B9-84B4-21C2D733D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141144"/>
        <c:axId val="873143768"/>
      </c:scatterChart>
      <c:valAx>
        <c:axId val="873141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143768"/>
        <c:crosses val="autoZero"/>
        <c:crossBetween val="midCat"/>
      </c:valAx>
      <c:valAx>
        <c:axId val="87314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141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analysis!$F$1</c:f>
              <c:strCache>
                <c:ptCount val="1"/>
                <c:pt idx="0">
                  <c:v>cos 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analysis!$F$2:$F$63</c:f>
              <c:numCache>
                <c:formatCode>General</c:formatCode>
                <c:ptCount val="62"/>
                <c:pt idx="0">
                  <c:v>0.72056687594171631</c:v>
                </c:pt>
                <c:pt idx="1">
                  <c:v>0.70117657315932935</c:v>
                </c:pt>
                <c:pt idx="2">
                  <c:v>0.69086298573906968</c:v>
                </c:pt>
                <c:pt idx="3">
                  <c:v>0.61456967614192626</c:v>
                </c:pt>
                <c:pt idx="4">
                  <c:v>0.73388840025417745</c:v>
                </c:pt>
                <c:pt idx="5">
                  <c:v>0.7272747805264721</c:v>
                </c:pt>
                <c:pt idx="6">
                  <c:v>0.7927553150815887</c:v>
                </c:pt>
                <c:pt idx="7">
                  <c:v>0.85121693981571489</c:v>
                </c:pt>
                <c:pt idx="8">
                  <c:v>0.70703370455252179</c:v>
                </c:pt>
                <c:pt idx="9">
                  <c:v>0.65808586936451741</c:v>
                </c:pt>
                <c:pt idx="10">
                  <c:v>0.62955983322681341</c:v>
                </c:pt>
                <c:pt idx="11">
                  <c:v>0.86923903478116937</c:v>
                </c:pt>
                <c:pt idx="12">
                  <c:v>0.72768087407778737</c:v>
                </c:pt>
                <c:pt idx="13">
                  <c:v>0.64057555761472806</c:v>
                </c:pt>
                <c:pt idx="14">
                  <c:v>0.69510966212760705</c:v>
                </c:pt>
                <c:pt idx="15">
                  <c:v>0.68090927421023839</c:v>
                </c:pt>
                <c:pt idx="16">
                  <c:v>0.61762580620925822</c:v>
                </c:pt>
                <c:pt idx="17">
                  <c:v>0.61379863372646004</c:v>
                </c:pt>
                <c:pt idx="18">
                  <c:v>0.68485549524510358</c:v>
                </c:pt>
                <c:pt idx="19">
                  <c:v>0.69454888424832695</c:v>
                </c:pt>
                <c:pt idx="20">
                  <c:v>0.54571485445120282</c:v>
                </c:pt>
                <c:pt idx="21">
                  <c:v>0.622696221501994</c:v>
                </c:pt>
                <c:pt idx="22">
                  <c:v>0.63634567407265163</c:v>
                </c:pt>
                <c:pt idx="23">
                  <c:v>0.67101625652047558</c:v>
                </c:pt>
                <c:pt idx="24">
                  <c:v>0.59251928416944222</c:v>
                </c:pt>
                <c:pt idx="25">
                  <c:v>0.62390103533125185</c:v>
                </c:pt>
                <c:pt idx="26">
                  <c:v>0.64846953732827506</c:v>
                </c:pt>
                <c:pt idx="27">
                  <c:v>0.68967342401638698</c:v>
                </c:pt>
                <c:pt idx="28">
                  <c:v>0.63633117989180488</c:v>
                </c:pt>
                <c:pt idx="29">
                  <c:v>0.58952589841995162</c:v>
                </c:pt>
                <c:pt idx="30">
                  <c:v>0.71369214506990897</c:v>
                </c:pt>
                <c:pt idx="31">
                  <c:v>0.67894594922197382</c:v>
                </c:pt>
                <c:pt idx="32">
                  <c:v>0.67561444974672713</c:v>
                </c:pt>
                <c:pt idx="33">
                  <c:v>0.7289490767383513</c:v>
                </c:pt>
                <c:pt idx="34">
                  <c:v>0.60522630884753326</c:v>
                </c:pt>
                <c:pt idx="35">
                  <c:v>0.63182718017273864</c:v>
                </c:pt>
                <c:pt idx="36">
                  <c:v>0.75322720793269737</c:v>
                </c:pt>
                <c:pt idx="37">
                  <c:v>0.5284238187773066</c:v>
                </c:pt>
                <c:pt idx="38">
                  <c:v>0.38981080994522227</c:v>
                </c:pt>
                <c:pt idx="39">
                  <c:v>0.75099832118056031</c:v>
                </c:pt>
                <c:pt idx="40">
                  <c:v>0.64381615500029321</c:v>
                </c:pt>
                <c:pt idx="41">
                  <c:v>0.68369086204228913</c:v>
                </c:pt>
                <c:pt idx="42">
                  <c:v>0.68459531695970266</c:v>
                </c:pt>
                <c:pt idx="43">
                  <c:v>0.62117340140637012</c:v>
                </c:pt>
                <c:pt idx="44">
                  <c:v>0.81878545762458776</c:v>
                </c:pt>
                <c:pt idx="45">
                  <c:v>0.72677164507899505</c:v>
                </c:pt>
                <c:pt idx="46">
                  <c:v>0.50041487677948748</c:v>
                </c:pt>
                <c:pt idx="47">
                  <c:v>0.75128360260005467</c:v>
                </c:pt>
                <c:pt idx="48">
                  <c:v>0.60656412290588713</c:v>
                </c:pt>
                <c:pt idx="49">
                  <c:v>0.67137838549668361</c:v>
                </c:pt>
                <c:pt idx="50">
                  <c:v>0.74352564971739277</c:v>
                </c:pt>
                <c:pt idx="51">
                  <c:v>0.64842662698075337</c:v>
                </c:pt>
                <c:pt idx="52">
                  <c:v>0.70361730210545115</c:v>
                </c:pt>
                <c:pt idx="53">
                  <c:v>0.7888740910353842</c:v>
                </c:pt>
                <c:pt idx="54">
                  <c:v>0.62013477275367546</c:v>
                </c:pt>
                <c:pt idx="55">
                  <c:v>0.71391584697201682</c:v>
                </c:pt>
                <c:pt idx="56">
                  <c:v>0.6702915182381548</c:v>
                </c:pt>
                <c:pt idx="57">
                  <c:v>0.81698543910652888</c:v>
                </c:pt>
                <c:pt idx="58">
                  <c:v>0.58926026957254984</c:v>
                </c:pt>
                <c:pt idx="59">
                  <c:v>0.49883610623797736</c:v>
                </c:pt>
                <c:pt idx="60">
                  <c:v>0.60545064298257856</c:v>
                </c:pt>
                <c:pt idx="61">
                  <c:v>0.66209428533779002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2-40E3-839B-076204D3CD37}"/>
            </c:ext>
          </c:extLst>
        </c:ser>
        <c:ser>
          <c:idx val="1"/>
          <c:order val="1"/>
          <c:tx>
            <c:strRef>
              <c:f>analysis!$R$146</c:f>
              <c:strCache>
                <c:ptCount val="1"/>
                <c:pt idx="0">
                  <c:v>Predicted cos min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analysis!$R$147:$R$208</c:f>
              <c:numCache>
                <c:formatCode>General</c:formatCode>
                <c:ptCount val="62"/>
                <c:pt idx="0">
                  <c:v>0.70761649336337229</c:v>
                </c:pt>
                <c:pt idx="1">
                  <c:v>0.68484908447811088</c:v>
                </c:pt>
                <c:pt idx="2">
                  <c:v>0.69428198133527053</c:v>
                </c:pt>
                <c:pt idx="3">
                  <c:v>0.66817899618452348</c:v>
                </c:pt>
                <c:pt idx="4">
                  <c:v>0.68701353966686896</c:v>
                </c:pt>
                <c:pt idx="5">
                  <c:v>0.67771268383344563</c:v>
                </c:pt>
                <c:pt idx="6">
                  <c:v>0.69128782071088746</c:v>
                </c:pt>
                <c:pt idx="7">
                  <c:v>0.68756432992533834</c:v>
                </c:pt>
                <c:pt idx="8">
                  <c:v>0.69725310027882503</c:v>
                </c:pt>
                <c:pt idx="9">
                  <c:v>0.699774219755673</c:v>
                </c:pt>
                <c:pt idx="10">
                  <c:v>0.68422875365985258</c:v>
                </c:pt>
                <c:pt idx="11">
                  <c:v>0.65626402311633103</c:v>
                </c:pt>
                <c:pt idx="12">
                  <c:v>0.66261721720433209</c:v>
                </c:pt>
                <c:pt idx="13">
                  <c:v>0.70148088244388296</c:v>
                </c:pt>
                <c:pt idx="14">
                  <c:v>0.68221192556251342</c:v>
                </c:pt>
                <c:pt idx="15">
                  <c:v>0.67832555903855829</c:v>
                </c:pt>
                <c:pt idx="16">
                  <c:v>0.70148088244388296</c:v>
                </c:pt>
                <c:pt idx="17">
                  <c:v>0.67110361624911752</c:v>
                </c:pt>
                <c:pt idx="18">
                  <c:v>0.66771374807082973</c:v>
                </c:pt>
                <c:pt idx="19">
                  <c:v>0.66448675563094795</c:v>
                </c:pt>
                <c:pt idx="20">
                  <c:v>0.66886962050057042</c:v>
                </c:pt>
                <c:pt idx="21">
                  <c:v>0.67658806163567853</c:v>
                </c:pt>
                <c:pt idx="22">
                  <c:v>0.67083994971894889</c:v>
                </c:pt>
                <c:pt idx="23">
                  <c:v>0.69224211155710291</c:v>
                </c:pt>
                <c:pt idx="24">
                  <c:v>0.66761295727906711</c:v>
                </c:pt>
                <c:pt idx="25">
                  <c:v>0.65206749118324681</c:v>
                </c:pt>
                <c:pt idx="26">
                  <c:v>0.69323510824843748</c:v>
                </c:pt>
                <c:pt idx="27">
                  <c:v>0.66827233136314046</c:v>
                </c:pt>
                <c:pt idx="28">
                  <c:v>0.67205011406149151</c:v>
                </c:pt>
                <c:pt idx="29">
                  <c:v>0.65913435126812303</c:v>
                </c:pt>
                <c:pt idx="30">
                  <c:v>0.6772009368407913</c:v>
                </c:pt>
                <c:pt idx="31">
                  <c:v>0.67336886222963832</c:v>
                </c:pt>
                <c:pt idx="32">
                  <c:v>0.67200361518253104</c:v>
                </c:pt>
                <c:pt idx="33">
                  <c:v>0.67250011352819838</c:v>
                </c:pt>
                <c:pt idx="34">
                  <c:v>0.65897926856355837</c:v>
                </c:pt>
                <c:pt idx="35">
                  <c:v>0.67463331848498287</c:v>
                </c:pt>
                <c:pt idx="36">
                  <c:v>0.66286563508751362</c:v>
                </c:pt>
                <c:pt idx="37">
                  <c:v>0.65761402151645121</c:v>
                </c:pt>
                <c:pt idx="38">
                  <c:v>0.66341642534598289</c:v>
                </c:pt>
                <c:pt idx="39">
                  <c:v>0.6601894329061011</c:v>
                </c:pt>
                <c:pt idx="40">
                  <c:v>0.66057734742616436</c:v>
                </c:pt>
                <c:pt idx="41">
                  <c:v>0.67037470160525525</c:v>
                </c:pt>
                <c:pt idx="42">
                  <c:v>0.66583675403106812</c:v>
                </c:pt>
                <c:pt idx="43">
                  <c:v>0.65467415280487029</c:v>
                </c:pt>
                <c:pt idx="44">
                  <c:v>0.67985409734137525</c:v>
                </c:pt>
                <c:pt idx="45">
                  <c:v>0.66962232976326075</c:v>
                </c:pt>
                <c:pt idx="46">
                  <c:v>0.66190388862815253</c:v>
                </c:pt>
                <c:pt idx="47">
                  <c:v>0.66168672097694448</c:v>
                </c:pt>
                <c:pt idx="48">
                  <c:v>0.66098084801391055</c:v>
                </c:pt>
                <c:pt idx="49">
                  <c:v>0.67187978270993998</c:v>
                </c:pt>
                <c:pt idx="50">
                  <c:v>0.67506027627086118</c:v>
                </c:pt>
                <c:pt idx="51">
                  <c:v>0.65951481017504088</c:v>
                </c:pt>
                <c:pt idx="52">
                  <c:v>0.64391505216641842</c:v>
                </c:pt>
                <c:pt idx="53">
                  <c:v>0.65880893721200695</c:v>
                </c:pt>
                <c:pt idx="54">
                  <c:v>0.6520834927682333</c:v>
                </c:pt>
                <c:pt idx="55">
                  <c:v>0.64234043050194467</c:v>
                </c:pt>
                <c:pt idx="56">
                  <c:v>0.64814283433147624</c:v>
                </c:pt>
                <c:pt idx="57">
                  <c:v>0.64885650032835163</c:v>
                </c:pt>
                <c:pt idx="58">
                  <c:v>0.6397185202333342</c:v>
                </c:pt>
                <c:pt idx="59">
                  <c:v>0.64809633545251577</c:v>
                </c:pt>
                <c:pt idx="60">
                  <c:v>0.64798775162691158</c:v>
                </c:pt>
                <c:pt idx="61">
                  <c:v>0.65308428249340933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2-40E3-839B-076204D3C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4027104"/>
        <c:axId val="1034028744"/>
      </c:scatterChart>
      <c:valAx>
        <c:axId val="1034027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4028744"/>
        <c:crosses val="autoZero"/>
        <c:crossBetween val="midCat"/>
      </c:valAx>
      <c:valAx>
        <c:axId val="1034028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402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analysis!$E$1</c:f>
              <c:strCache>
                <c:ptCount val="1"/>
                <c:pt idx="0">
                  <c:v>sin 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analysis!$E$2:$E$64</c:f>
              <c:numCache>
                <c:formatCode>General</c:formatCode>
                <c:ptCount val="63"/>
                <c:pt idx="0">
                  <c:v>0.69338544641173083</c:v>
                </c:pt>
                <c:pt idx="1">
                  <c:v>0.71298766697085281</c:v>
                </c:pt>
                <c:pt idx="2">
                  <c:v>0.72298570866629031</c:v>
                </c:pt>
                <c:pt idx="3">
                  <c:v>0.7888625438990039</c:v>
                </c:pt>
                <c:pt idx="4">
                  <c:v>0.67927006114826238</c:v>
                </c:pt>
                <c:pt idx="5">
                  <c:v>0.6863464093372762</c:v>
                </c:pt>
                <c:pt idx="6">
                  <c:v>0.60953999902376454</c:v>
                </c:pt>
                <c:pt idx="7">
                  <c:v>0.52481398740007823</c:v>
                </c:pt>
                <c:pt idx="8">
                  <c:v>0.70717985026917818</c:v>
                </c:pt>
                <c:pt idx="9">
                  <c:v>0.75294288531252307</c:v>
                </c:pt>
                <c:pt idx="10">
                  <c:v>0.77695200391493091</c:v>
                </c:pt>
                <c:pt idx="11">
                  <c:v>0.49439205132435232</c:v>
                </c:pt>
                <c:pt idx="12">
                  <c:v>0.68591584432887054</c:v>
                </c:pt>
                <c:pt idx="13">
                  <c:v>0.76789514582824403</c:v>
                </c:pt>
                <c:pt idx="14">
                  <c:v>0.71890371929545893</c:v>
                </c:pt>
                <c:pt idx="15">
                  <c:v>0.73236777666312325</c:v>
                </c:pt>
                <c:pt idx="16">
                  <c:v>0.78647209963504983</c:v>
                </c:pt>
                <c:pt idx="17">
                  <c:v>0.78946262561031411</c:v>
                </c:pt>
                <c:pt idx="18">
                  <c:v>0.72867890777254141</c:v>
                </c:pt>
                <c:pt idx="19">
                  <c:v>0.71944551384340716</c:v>
                </c:pt>
                <c:pt idx="20">
                  <c:v>0.83797094080361911</c:v>
                </c:pt>
                <c:pt idx="21">
                  <c:v>0.78246368332794813</c:v>
                </c:pt>
                <c:pt idx="22">
                  <c:v>0.77140403362247378</c:v>
                </c:pt>
                <c:pt idx="23">
                  <c:v>0.74144263667882448</c:v>
                </c:pt>
                <c:pt idx="24">
                  <c:v>0.80555626612132547</c:v>
                </c:pt>
                <c:pt idx="25">
                  <c:v>0.78150335771037605</c:v>
                </c:pt>
                <c:pt idx="26">
                  <c:v>0.76124060529983084</c:v>
                </c:pt>
                <c:pt idx="27">
                  <c:v>0.72412054811717153</c:v>
                </c:pt>
                <c:pt idx="28">
                  <c:v>0.77141598991562488</c:v>
                </c:pt>
                <c:pt idx="29">
                  <c:v>0.8077494754514849</c:v>
                </c:pt>
                <c:pt idx="30">
                  <c:v>0.7004595077986393</c:v>
                </c:pt>
                <c:pt idx="31">
                  <c:v>0.73418825789784525</c:v>
                </c:pt>
                <c:pt idx="32">
                  <c:v>0.73725512225648671</c:v>
                </c:pt>
                <c:pt idx="33">
                  <c:v>0.68456792469579331</c:v>
                </c:pt>
                <c:pt idx="34">
                  <c:v>0.79605346245009845</c:v>
                </c:pt>
                <c:pt idx="35">
                  <c:v>0.77510929190338418</c:v>
                </c:pt>
                <c:pt idx="36">
                  <c:v>0.65776042236509868</c:v>
                </c:pt>
                <c:pt idx="37">
                  <c:v>0.84898072283698423</c:v>
                </c:pt>
                <c:pt idx="38">
                  <c:v>0.92089496276711702</c:v>
                </c:pt>
                <c:pt idx="39">
                  <c:v>0.66030411295400837</c:v>
                </c:pt>
                <c:pt idx="40">
                  <c:v>0.7651802131267107</c:v>
                </c:pt>
                <c:pt idx="41">
                  <c:v>0.72977174867205674</c:v>
                </c:pt>
                <c:pt idx="42">
                  <c:v>0.72892335124952901</c:v>
                </c:pt>
                <c:pt idx="43">
                  <c:v>0.78367314958804135</c:v>
                </c:pt>
                <c:pt idx="44">
                  <c:v>0.57409962060821329</c:v>
                </c:pt>
                <c:pt idx="45">
                  <c:v>0.68687915670019517</c:v>
                </c:pt>
                <c:pt idx="46">
                  <c:v>0.86578574202730452</c:v>
                </c:pt>
                <c:pt idx="47">
                  <c:v>0.65997950609415379</c:v>
                </c:pt>
                <c:pt idx="48">
                  <c:v>0.79503456830719754</c:v>
                </c:pt>
                <c:pt idx="49">
                  <c:v>0.74111474380683218</c:v>
                </c:pt>
                <c:pt idx="50">
                  <c:v>0.66870741599920136</c:v>
                </c:pt>
                <c:pt idx="51">
                  <c:v>0.7612771567716734</c:v>
                </c:pt>
                <c:pt idx="52">
                  <c:v>0.71057912450187155</c:v>
                </c:pt>
                <c:pt idx="53">
                  <c:v>0.61455485393339482</c:v>
                </c:pt>
                <c:pt idx="54">
                  <c:v>0.784495292287817</c:v>
                </c:pt>
                <c:pt idx="55">
                  <c:v>0.70023150703337234</c:v>
                </c:pt>
                <c:pt idx="56">
                  <c:v>0.74209789150622807</c:v>
                </c:pt>
                <c:pt idx="57">
                  <c:v>0.5766582976840896</c:v>
                </c:pt>
                <c:pt idx="58">
                  <c:v>0.80794327443409408</c:v>
                </c:pt>
                <c:pt idx="59">
                  <c:v>0.86669633616009556</c:v>
                </c:pt>
                <c:pt idx="60">
                  <c:v>0.7958828550182383</c:v>
                </c:pt>
                <c:pt idx="61">
                  <c:v>0.74942054770538624</c:v>
                </c:pt>
                <c:pt idx="62">
                  <c:v>0.99387315655658082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88-4A53-8FA7-1B824022947B}"/>
            </c:ext>
          </c:extLst>
        </c:ser>
        <c:ser>
          <c:idx val="1"/>
          <c:order val="1"/>
          <c:tx>
            <c:strRef>
              <c:f>analysis!$AD$55</c:f>
              <c:strCache>
                <c:ptCount val="1"/>
                <c:pt idx="0">
                  <c:v>Predicted sin min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analysis!$AD$56:$AD$118</c:f>
              <c:numCache>
                <c:formatCode>General</c:formatCode>
                <c:ptCount val="63"/>
                <c:pt idx="0">
                  <c:v>0.68758930643890659</c:v>
                </c:pt>
                <c:pt idx="1">
                  <c:v>0.70493763643455787</c:v>
                </c:pt>
                <c:pt idx="2">
                  <c:v>0.70318891606345491</c:v>
                </c:pt>
                <c:pt idx="3">
                  <c:v>0.72452434504188479</c:v>
                </c:pt>
                <c:pt idx="4">
                  <c:v>0.71052301453287203</c:v>
                </c:pt>
                <c:pt idx="5">
                  <c:v>0.72107733179608757</c:v>
                </c:pt>
                <c:pt idx="6">
                  <c:v>0.71223623988239182</c:v>
                </c:pt>
                <c:pt idx="7">
                  <c:v>0.71183786731307597</c:v>
                </c:pt>
                <c:pt idx="8">
                  <c:v>0.70566902160195477</c:v>
                </c:pt>
                <c:pt idx="9">
                  <c:v>0.70513598148555645</c:v>
                </c:pt>
                <c:pt idx="10">
                  <c:v>0.71582496629585457</c:v>
                </c:pt>
                <c:pt idx="11">
                  <c:v>0.7369612089896268</c:v>
                </c:pt>
                <c:pt idx="12">
                  <c:v>0.73477946226128399</c:v>
                </c:pt>
                <c:pt idx="13">
                  <c:v>0.70805700023553841</c:v>
                </c:pt>
                <c:pt idx="14">
                  <c:v>0.71834761247652101</c:v>
                </c:pt>
                <c:pt idx="15">
                  <c:v>0.72101985867909557</c:v>
                </c:pt>
                <c:pt idx="16">
                  <c:v>0.70805700023553841</c:v>
                </c:pt>
                <c:pt idx="17">
                  <c:v>0.72767920386444873</c:v>
                </c:pt>
                <c:pt idx="18">
                  <c:v>0.7326898424378574</c:v>
                </c:pt>
                <c:pt idx="19">
                  <c:v>0.73462986223937587</c:v>
                </c:pt>
                <c:pt idx="20">
                  <c:v>0.73429600840763543</c:v>
                </c:pt>
                <c:pt idx="21">
                  <c:v>0.72997505559311637</c:v>
                </c:pt>
                <c:pt idx="22">
                  <c:v>0.73244811551103306</c:v>
                </c:pt>
                <c:pt idx="23">
                  <c:v>0.71723899160155791</c:v>
                </c:pt>
                <c:pt idx="24">
                  <c:v>0.73438813531255154</c:v>
                </c:pt>
                <c:pt idx="25">
                  <c:v>0.74507712012284977</c:v>
                </c:pt>
                <c:pt idx="26">
                  <c:v>0.72191577634322612</c:v>
                </c:pt>
                <c:pt idx="27">
                  <c:v>0.73365590891149535</c:v>
                </c:pt>
                <c:pt idx="28">
                  <c:v>0.73303074189018103</c:v>
                </c:pt>
                <c:pt idx="29">
                  <c:v>0.74113960740282081</c:v>
                </c:pt>
                <c:pt idx="30">
                  <c:v>0.72991758247612426</c:v>
                </c:pt>
                <c:pt idx="31">
                  <c:v>0.73156628908806876</c:v>
                </c:pt>
                <c:pt idx="32">
                  <c:v>0.7337054951742451</c:v>
                </c:pt>
                <c:pt idx="33">
                  <c:v>0.7360438875450791</c:v>
                </c:pt>
                <c:pt idx="34">
                  <c:v>0.74386143986814501</c:v>
                </c:pt>
                <c:pt idx="35">
                  <c:v>0.73112537587658655</c:v>
                </c:pt>
                <c:pt idx="36">
                  <c:v>0.74118919366557035</c:v>
                </c:pt>
                <c:pt idx="37">
                  <c:v>0.74600064595432125</c:v>
                </c:pt>
                <c:pt idx="38">
                  <c:v>0.74250404644577439</c:v>
                </c:pt>
                <c:pt idx="39">
                  <c:v>0.74444406624729287</c:v>
                </c:pt>
                <c:pt idx="40">
                  <c:v>0.74882953779938721</c:v>
                </c:pt>
                <c:pt idx="41">
                  <c:v>0.74061361290700567</c:v>
                </c:pt>
                <c:pt idx="42">
                  <c:v>0.74366929920407021</c:v>
                </c:pt>
                <c:pt idx="43">
                  <c:v>0.75402443018262799</c:v>
                </c:pt>
                <c:pt idx="44">
                  <c:v>0.73819013925183852</c:v>
                </c:pt>
                <c:pt idx="45">
                  <c:v>0.74269534587618979</c:v>
                </c:pt>
                <c:pt idx="46">
                  <c:v>0.74701629869070896</c:v>
                </c:pt>
                <c:pt idx="47">
                  <c:v>0.75111045705322921</c:v>
                </c:pt>
                <c:pt idx="48">
                  <c:v>0.75251743673834925</c:v>
                </c:pt>
                <c:pt idx="49">
                  <c:v>0.7469312174063758</c:v>
                </c:pt>
                <c:pt idx="50">
                  <c:v>0.74566595088892151</c:v>
                </c:pt>
                <c:pt idx="51">
                  <c:v>0.75635493569921974</c:v>
                </c:pt>
                <c:pt idx="52">
                  <c:v>0.76806746010014815</c:v>
                </c:pt>
                <c:pt idx="53">
                  <c:v>0.7577619153843399</c:v>
                </c:pt>
                <c:pt idx="54">
                  <c:v>0.76675965294052717</c:v>
                </c:pt>
                <c:pt idx="55">
                  <c:v>0.77395203824227854</c:v>
                </c:pt>
                <c:pt idx="56">
                  <c:v>0.77045543873373179</c:v>
                </c:pt>
                <c:pt idx="57">
                  <c:v>0.76869967274204565</c:v>
                </c:pt>
                <c:pt idx="58">
                  <c:v>0.776183371233371</c:v>
                </c:pt>
                <c:pt idx="59">
                  <c:v>0.77113019201779587</c:v>
                </c:pt>
                <c:pt idx="60">
                  <c:v>0.77317727119905599</c:v>
                </c:pt>
                <c:pt idx="61">
                  <c:v>0.77108765137562929</c:v>
                </c:pt>
                <c:pt idx="62">
                  <c:v>0.78891859399126996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88-4A53-8FA7-1B8240229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129008"/>
        <c:axId val="873138192"/>
      </c:scatterChart>
      <c:valAx>
        <c:axId val="87312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138192"/>
        <c:crosses val="autoZero"/>
        <c:crossBetween val="midCat"/>
      </c:valAx>
      <c:valAx>
        <c:axId val="87313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12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analysis!$C$1</c:f>
              <c:strCache>
                <c:ptCount val="1"/>
                <c:pt idx="0">
                  <c:v>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analysis!$C$2:$C$64</c:f>
              <c:numCache>
                <c:formatCode>0.00</c:formatCode>
                <c:ptCount val="63"/>
                <c:pt idx="0">
                  <c:v>815.55</c:v>
                </c:pt>
                <c:pt idx="1">
                  <c:v>844.9</c:v>
                </c:pt>
                <c:pt idx="2">
                  <c:v>860.19</c:v>
                </c:pt>
                <c:pt idx="3">
                  <c:v>967.53</c:v>
                </c:pt>
                <c:pt idx="4">
                  <c:v>794.89</c:v>
                </c:pt>
                <c:pt idx="5">
                  <c:v>805.2</c:v>
                </c:pt>
                <c:pt idx="6">
                  <c:v>697.72</c:v>
                </c:pt>
                <c:pt idx="7">
                  <c:v>588.1</c:v>
                </c:pt>
                <c:pt idx="8">
                  <c:v>836.12</c:v>
                </c:pt>
                <c:pt idx="9">
                  <c:v>907.46</c:v>
                </c:pt>
                <c:pt idx="10">
                  <c:v>947.15</c:v>
                </c:pt>
                <c:pt idx="11">
                  <c:v>550.46</c:v>
                </c:pt>
                <c:pt idx="12">
                  <c:v>804.57</c:v>
                </c:pt>
                <c:pt idx="13">
                  <c:v>931.97</c:v>
                </c:pt>
                <c:pt idx="14">
                  <c:v>853.92</c:v>
                </c:pt>
                <c:pt idx="15">
                  <c:v>874.75</c:v>
                </c:pt>
                <c:pt idx="16">
                  <c:v>963.4</c:v>
                </c:pt>
                <c:pt idx="17">
                  <c:v>968.57</c:v>
                </c:pt>
                <c:pt idx="18">
                  <c:v>869</c:v>
                </c:pt>
                <c:pt idx="19">
                  <c:v>854.75</c:v>
                </c:pt>
                <c:pt idx="20">
                  <c:v>1057.58</c:v>
                </c:pt>
                <c:pt idx="21">
                  <c:v>956.52</c:v>
                </c:pt>
                <c:pt idx="22">
                  <c:v>937.82</c:v>
                </c:pt>
                <c:pt idx="23">
                  <c:v>889.04</c:v>
                </c:pt>
                <c:pt idx="24">
                  <c:v>996.97</c:v>
                </c:pt>
                <c:pt idx="25">
                  <c:v>954.88</c:v>
                </c:pt>
                <c:pt idx="26">
                  <c:v>920.98</c:v>
                </c:pt>
                <c:pt idx="27">
                  <c:v>861.94</c:v>
                </c:pt>
                <c:pt idx="28">
                  <c:v>937.84</c:v>
                </c:pt>
                <c:pt idx="29">
                  <c:v>1000.92</c:v>
                </c:pt>
                <c:pt idx="30">
                  <c:v>826.05</c:v>
                </c:pt>
                <c:pt idx="31">
                  <c:v>877.6</c:v>
                </c:pt>
                <c:pt idx="32">
                  <c:v>882.42</c:v>
                </c:pt>
                <c:pt idx="33">
                  <c:v>802.6</c:v>
                </c:pt>
                <c:pt idx="34">
                  <c:v>980.08</c:v>
                </c:pt>
                <c:pt idx="35">
                  <c:v>944.04</c:v>
                </c:pt>
                <c:pt idx="36">
                  <c:v>764.1</c:v>
                </c:pt>
                <c:pt idx="37">
                  <c:v>1079.4000000000001</c:v>
                </c:pt>
                <c:pt idx="38">
                  <c:v>1245.79</c:v>
                </c:pt>
                <c:pt idx="39">
                  <c:v>767.7</c:v>
                </c:pt>
                <c:pt idx="40">
                  <c:v>927.47</c:v>
                </c:pt>
                <c:pt idx="41">
                  <c:v>870.7</c:v>
                </c:pt>
                <c:pt idx="42">
                  <c:v>869.38</c:v>
                </c:pt>
                <c:pt idx="43">
                  <c:v>958.59</c:v>
                </c:pt>
                <c:pt idx="44">
                  <c:v>650.91</c:v>
                </c:pt>
                <c:pt idx="45">
                  <c:v>805.98</c:v>
                </c:pt>
                <c:pt idx="46">
                  <c:v>1114.17</c:v>
                </c:pt>
                <c:pt idx="47">
                  <c:v>767.24</c:v>
                </c:pt>
                <c:pt idx="48">
                  <c:v>978.29</c:v>
                </c:pt>
                <c:pt idx="49">
                  <c:v>888.52</c:v>
                </c:pt>
                <c:pt idx="50">
                  <c:v>779.67</c:v>
                </c:pt>
                <c:pt idx="51">
                  <c:v>921.04</c:v>
                </c:pt>
                <c:pt idx="52">
                  <c:v>841.25</c:v>
                </c:pt>
                <c:pt idx="53">
                  <c:v>704.47</c:v>
                </c:pt>
                <c:pt idx="54">
                  <c:v>960</c:v>
                </c:pt>
                <c:pt idx="55">
                  <c:v>890.08</c:v>
                </c:pt>
                <c:pt idx="56">
                  <c:v>825.71</c:v>
                </c:pt>
                <c:pt idx="57">
                  <c:v>654.24</c:v>
                </c:pt>
                <c:pt idx="58">
                  <c:v>1001.27</c:v>
                </c:pt>
                <c:pt idx="59">
                  <c:v>1116.1099999999999</c:v>
                </c:pt>
                <c:pt idx="60">
                  <c:v>979.78</c:v>
                </c:pt>
                <c:pt idx="61">
                  <c:v>901.78</c:v>
                </c:pt>
                <c:pt idx="62">
                  <c:v>1554.13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D7-44B0-B8F6-D04DAEBCED3F}"/>
            </c:ext>
          </c:extLst>
        </c:ser>
        <c:ser>
          <c:idx val="1"/>
          <c:order val="1"/>
          <c:tx>
            <c:strRef>
              <c:f>analysis!$AO$55</c:f>
              <c:strCache>
                <c:ptCount val="1"/>
                <c:pt idx="0">
                  <c:v>predicted min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analysis!$AO$56:$AO$118</c:f>
              <c:numCache>
                <c:formatCode>General</c:formatCode>
                <c:ptCount val="63"/>
                <c:pt idx="0">
                  <c:v>789.81085017288558</c:v>
                </c:pt>
                <c:pt idx="1">
                  <c:v>822.39222643453468</c:v>
                </c:pt>
                <c:pt idx="2">
                  <c:v>822.08969015293417</c:v>
                </c:pt>
                <c:pt idx="3">
                  <c:v>861.8535519416746</c:v>
                </c:pt>
                <c:pt idx="4">
                  <c:v>838.86432685176817</c:v>
                </c:pt>
                <c:pt idx="5">
                  <c:v>856.07516748209537</c:v>
                </c:pt>
                <c:pt idx="6">
                  <c:v>838.77768154447847</c:v>
                </c:pt>
                <c:pt idx="7">
                  <c:v>840.96703423194776</c:v>
                </c:pt>
                <c:pt idx="8">
                  <c:v>828.74932644124249</c:v>
                </c:pt>
                <c:pt idx="9">
                  <c:v>827.83040717139249</c:v>
                </c:pt>
                <c:pt idx="10">
                  <c:v>848.14951975903887</c:v>
                </c:pt>
                <c:pt idx="11">
                  <c:v>889.00805789151411</c:v>
                </c:pt>
                <c:pt idx="12">
                  <c:v>883.97283562789994</c:v>
                </c:pt>
                <c:pt idx="13">
                  <c:v>833.17505415878395</c:v>
                </c:pt>
                <c:pt idx="14">
                  <c:v>855.68351943389962</c:v>
                </c:pt>
                <c:pt idx="15">
                  <c:v>860.76329758081135</c:v>
                </c:pt>
                <c:pt idx="16">
                  <c:v>833.17505415878395</c:v>
                </c:pt>
                <c:pt idx="17">
                  <c:v>873.02556125481408</c:v>
                </c:pt>
                <c:pt idx="18">
                  <c:v>881.17152193505274</c:v>
                </c:pt>
                <c:pt idx="19">
                  <c:v>886.42705715584918</c:v>
                </c:pt>
                <c:pt idx="20">
                  <c:v>884.41346154226449</c:v>
                </c:pt>
                <c:pt idx="21">
                  <c:v>875.21738040158868</c:v>
                </c:pt>
                <c:pt idx="22">
                  <c:v>881.3918348922349</c:v>
                </c:pt>
                <c:pt idx="23">
                  <c:v>852.97131750764743</c:v>
                </c:pt>
                <c:pt idx="24">
                  <c:v>886.64737011303134</c:v>
                </c:pt>
                <c:pt idx="25">
                  <c:v>906.96648270067772</c:v>
                </c:pt>
                <c:pt idx="26">
                  <c:v>859.10368257430139</c:v>
                </c:pt>
                <c:pt idx="27">
                  <c:v>886.82312718691617</c:v>
                </c:pt>
                <c:pt idx="28">
                  <c:v>883.67029934629943</c:v>
                </c:pt>
                <c:pt idx="29">
                  <c:v>901.14354235780104</c:v>
                </c:pt>
                <c:pt idx="30">
                  <c:v>879.90551050030467</c:v>
                </c:pt>
                <c:pt idx="31">
                  <c:v>884.02181349406885</c:v>
                </c:pt>
                <c:pt idx="32">
                  <c:v>888.18267237113048</c:v>
                </c:pt>
                <c:pt idx="33">
                  <c:v>891.24885490445763</c:v>
                </c:pt>
                <c:pt idx="34">
                  <c:v>907.58286568892709</c:v>
                </c:pt>
                <c:pt idx="35">
                  <c:v>885.33680279498583</c:v>
                </c:pt>
                <c:pt idx="36">
                  <c:v>902.50308754201546</c:v>
                </c:pt>
                <c:pt idx="37">
                  <c:v>911.74372456598871</c:v>
                </c:pt>
                <c:pt idx="38">
                  <c:v>904.60579492219506</c:v>
                </c:pt>
                <c:pt idx="39">
                  <c:v>909.86133014299151</c:v>
                </c:pt>
                <c:pt idx="40">
                  <c:v>914.8544629826132</c:v>
                </c:pt>
                <c:pt idx="41">
                  <c:v>900.70980488561304</c:v>
                </c:pt>
                <c:pt idx="42">
                  <c:v>909.1627238303239</c:v>
                </c:pt>
                <c:pt idx="43">
                  <c:v>927.46824080438546</c:v>
                </c:pt>
                <c:pt idx="44">
                  <c:v>895.89489557918114</c:v>
                </c:pt>
                <c:pt idx="45">
                  <c:v>909.55879386139077</c:v>
                </c:pt>
                <c:pt idx="46">
                  <c:v>918.75487500206657</c:v>
                </c:pt>
                <c:pt idx="47">
                  <c:v>922.60877561465611</c:v>
                </c:pt>
                <c:pt idx="48">
                  <c:v>926.94539156560256</c:v>
                </c:pt>
                <c:pt idx="49">
                  <c:v>917.00614822896159</c:v>
                </c:pt>
                <c:pt idx="50">
                  <c:v>916.26298603299654</c:v>
                </c:pt>
                <c:pt idx="51">
                  <c:v>936.58209862064291</c:v>
                </c:pt>
                <c:pt idx="52">
                  <c:v>957.86468636143684</c:v>
                </c:pt>
                <c:pt idx="53">
                  <c:v>940.91871457158959</c:v>
                </c:pt>
                <c:pt idx="54">
                  <c:v>956.24716077891924</c:v>
                </c:pt>
                <c:pt idx="55">
                  <c:v>969.42834372277196</c:v>
                </c:pt>
                <c:pt idx="56">
                  <c:v>962.29041407897819</c:v>
                </c:pt>
                <c:pt idx="57">
                  <c:v>961.50269599971557</c:v>
                </c:pt>
                <c:pt idx="58">
                  <c:v>975.82311117060044</c:v>
                </c:pt>
                <c:pt idx="59">
                  <c:v>966.80278710380946</c:v>
                </c:pt>
                <c:pt idx="60">
                  <c:v>968.72973741010435</c:v>
                </c:pt>
                <c:pt idx="61">
                  <c:v>965.92842371725715</c:v>
                </c:pt>
                <c:pt idx="62">
                  <c:v>1004.6020311451341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D7-44B0-B8F6-D04DAEBCE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4033008"/>
        <c:axId val="1034028088"/>
      </c:scatterChart>
      <c:valAx>
        <c:axId val="1034033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4028088"/>
        <c:crosses val="autoZero"/>
        <c:crossBetween val="midCat"/>
      </c:valAx>
      <c:valAx>
        <c:axId val="103402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4033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'new analysis'!$J$1</c:f>
              <c:strCache>
                <c:ptCount val="1"/>
                <c:pt idx="0">
                  <c:v>scaled (max-min)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34925" cap="rnd">
                <a:solidFill>
                  <a:srgbClr val="FF0000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1.0289588801399826E-2"/>
                  <c:y val="-0.15867891513560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'new analysis'!$G$2:$G$64</c:f>
              <c:numCache>
                <c:formatCode>General</c:formatCode>
                <c:ptCount val="63"/>
                <c:pt idx="0" formatCode="#,##0.0">
                  <c:v>97</c:v>
                </c:pt>
                <c:pt idx="1">
                  <c:v>99</c:v>
                </c:pt>
                <c:pt idx="2">
                  <c:v>101</c:v>
                </c:pt>
                <c:pt idx="3">
                  <c:v>102</c:v>
                </c:pt>
                <c:pt idx="4">
                  <c:v>104</c:v>
                </c:pt>
                <c:pt idx="5">
                  <c:v>106</c:v>
                </c:pt>
                <c:pt idx="6" formatCode="#,##0.0">
                  <c:v>107</c:v>
                </c:pt>
                <c:pt idx="7">
                  <c:v>107</c:v>
                </c:pt>
                <c:pt idx="8">
                  <c:v>108</c:v>
                </c:pt>
                <c:pt idx="9" formatCode="#,##0.0">
                  <c:v>109</c:v>
                </c:pt>
                <c:pt idx="10" formatCode="#,##0.0">
                  <c:v>111</c:v>
                </c:pt>
                <c:pt idx="11">
                  <c:v>113</c:v>
                </c:pt>
                <c:pt idx="12">
                  <c:v>113</c:v>
                </c:pt>
                <c:pt idx="13">
                  <c:v>117</c:v>
                </c:pt>
                <c:pt idx="14" formatCode="#,##0.0">
                  <c:v>117</c:v>
                </c:pt>
                <c:pt idx="15" formatCode="#,##0.0">
                  <c:v>121</c:v>
                </c:pt>
                <c:pt idx="16" formatCode="#,##0.0">
                  <c:v>105</c:v>
                </c:pt>
                <c:pt idx="17">
                  <c:v>110</c:v>
                </c:pt>
                <c:pt idx="18">
                  <c:v>112</c:v>
                </c:pt>
                <c:pt idx="19">
                  <c:v>113</c:v>
                </c:pt>
                <c:pt idx="20">
                  <c:v>114</c:v>
                </c:pt>
                <c:pt idx="21">
                  <c:v>115</c:v>
                </c:pt>
                <c:pt idx="22">
                  <c:v>116</c:v>
                </c:pt>
                <c:pt idx="23">
                  <c:v>117</c:v>
                </c:pt>
                <c:pt idx="24">
                  <c:v>118</c:v>
                </c:pt>
                <c:pt idx="25" formatCode="#,##0.0">
                  <c:v>120</c:v>
                </c:pt>
                <c:pt idx="26" formatCode="#,##0.0">
                  <c:v>121</c:v>
                </c:pt>
                <c:pt idx="27">
                  <c:v>121</c:v>
                </c:pt>
                <c:pt idx="28" formatCode="#,##0.0">
                  <c:v>122</c:v>
                </c:pt>
                <c:pt idx="29">
                  <c:v>124</c:v>
                </c:pt>
                <c:pt idx="30" formatCode="#,##0.0">
                  <c:v>132</c:v>
                </c:pt>
                <c:pt idx="31" formatCode="#,##0.0">
                  <c:v>133</c:v>
                </c:pt>
                <c:pt idx="32" formatCode="#,##0.0">
                  <c:v>99</c:v>
                </c:pt>
                <c:pt idx="33">
                  <c:v>101</c:v>
                </c:pt>
                <c:pt idx="34">
                  <c:v>104</c:v>
                </c:pt>
                <c:pt idx="35">
                  <c:v>106</c:v>
                </c:pt>
                <c:pt idx="36">
                  <c:v>107</c:v>
                </c:pt>
                <c:pt idx="37">
                  <c:v>107</c:v>
                </c:pt>
                <c:pt idx="38">
                  <c:v>109</c:v>
                </c:pt>
                <c:pt idx="39" formatCode="#,##0.0">
                  <c:v>111</c:v>
                </c:pt>
                <c:pt idx="40">
                  <c:v>111</c:v>
                </c:pt>
                <c:pt idx="41">
                  <c:v>112</c:v>
                </c:pt>
                <c:pt idx="42">
                  <c:v>113</c:v>
                </c:pt>
                <c:pt idx="43" formatCode="#,##0.0">
                  <c:v>117</c:v>
                </c:pt>
                <c:pt idx="44" formatCode="#,##0.0">
                  <c:v>117</c:v>
                </c:pt>
                <c:pt idx="45">
                  <c:v>120</c:v>
                </c:pt>
                <c:pt idx="46" formatCode="#,##0.0">
                  <c:v>121</c:v>
                </c:pt>
                <c:pt idx="47" formatCode="#,##0.0">
                  <c:v>126</c:v>
                </c:pt>
                <c:pt idx="48" formatCode="#,##0.0">
                  <c:v>75</c:v>
                </c:pt>
                <c:pt idx="49" formatCode="#,##0.0">
                  <c:v>84</c:v>
                </c:pt>
                <c:pt idx="50">
                  <c:v>86</c:v>
                </c:pt>
                <c:pt idx="51">
                  <c:v>86</c:v>
                </c:pt>
                <c:pt idx="52">
                  <c:v>87</c:v>
                </c:pt>
                <c:pt idx="53">
                  <c:v>88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91</c:v>
                </c:pt>
                <c:pt idx="58" formatCode="#,##0.0">
                  <c:v>93</c:v>
                </c:pt>
                <c:pt idx="59">
                  <c:v>93</c:v>
                </c:pt>
                <c:pt idx="60" formatCode="#,##0.0">
                  <c:v>93</c:v>
                </c:pt>
                <c:pt idx="61" formatCode="#,##0.0">
                  <c:v>95</c:v>
                </c:pt>
                <c:pt idx="62" formatCode="#,##0.0">
                  <c:v>99</c:v>
                </c:pt>
              </c:numCache>
            </c:numRef>
          </c:xVal>
          <c:yVal>
            <c:numRef>
              <c:f>'new analysis'!$J$2:$J$64</c:f>
              <c:numCache>
                <c:formatCode>General</c:formatCode>
                <c:ptCount val="63"/>
                <c:pt idx="0">
                  <c:v>106.29884809990313</c:v>
                </c:pt>
                <c:pt idx="1">
                  <c:v>109.17160081817204</c:v>
                </c:pt>
                <c:pt idx="2">
                  <c:v>109.85143718376575</c:v>
                </c:pt>
                <c:pt idx="3">
                  <c:v>106.47324792765636</c:v>
                </c:pt>
                <c:pt idx="4">
                  <c:v>115.68306599203359</c:v>
                </c:pt>
                <c:pt idx="5">
                  <c:v>101.60350952739797</c:v>
                </c:pt>
                <c:pt idx="6">
                  <c:v>122.4459037571321</c:v>
                </c:pt>
                <c:pt idx="7">
                  <c:v>109.49348692001294</c:v>
                </c:pt>
                <c:pt idx="8">
                  <c:v>109.50532888362579</c:v>
                </c:pt>
                <c:pt idx="9">
                  <c:v>109.70125955431156</c:v>
                </c:pt>
                <c:pt idx="10">
                  <c:v>103.7915814404134</c:v>
                </c:pt>
                <c:pt idx="11">
                  <c:v>114.1059317472279</c:v>
                </c:pt>
                <c:pt idx="12">
                  <c:v>103.3625793949833</c:v>
                </c:pt>
                <c:pt idx="13">
                  <c:v>109.76262245666916</c:v>
                </c:pt>
                <c:pt idx="14">
                  <c:v>115.35848853482612</c:v>
                </c:pt>
                <c:pt idx="15">
                  <c:v>112.05942512649371</c:v>
                </c:pt>
                <c:pt idx="16">
                  <c:v>120.47314027344171</c:v>
                </c:pt>
                <c:pt idx="17">
                  <c:v>108.34535472063733</c:v>
                </c:pt>
                <c:pt idx="18">
                  <c:v>108.45570029066639</c:v>
                </c:pt>
                <c:pt idx="19">
                  <c:v>111.74292173538595</c:v>
                </c:pt>
                <c:pt idx="20">
                  <c:v>115.69867585315964</c:v>
                </c:pt>
                <c:pt idx="21">
                  <c:v>115.44568844870275</c:v>
                </c:pt>
                <c:pt idx="22">
                  <c:v>109.94025191086232</c:v>
                </c:pt>
                <c:pt idx="23">
                  <c:v>116.26224566691786</c:v>
                </c:pt>
                <c:pt idx="24">
                  <c:v>132.5616320378943</c:v>
                </c:pt>
                <c:pt idx="25">
                  <c:v>111.12983098288299</c:v>
                </c:pt>
                <c:pt idx="26">
                  <c:v>130.48444396598126</c:v>
                </c:pt>
                <c:pt idx="27">
                  <c:v>124.56884487027668</c:v>
                </c:pt>
                <c:pt idx="28">
                  <c:v>119.32177844762623</c:v>
                </c:pt>
                <c:pt idx="29">
                  <c:v>110.01883948756596</c:v>
                </c:pt>
                <c:pt idx="30">
                  <c:v>114.05802562170309</c:v>
                </c:pt>
                <c:pt idx="31">
                  <c:v>118.12035741199267</c:v>
                </c:pt>
                <c:pt idx="32">
                  <c:v>97.906125524814314</c:v>
                </c:pt>
                <c:pt idx="33">
                  <c:v>129.25449456346217</c:v>
                </c:pt>
                <c:pt idx="34">
                  <c:v>119.63397567014749</c:v>
                </c:pt>
                <c:pt idx="35">
                  <c:v>99.433200559801918</c:v>
                </c:pt>
                <c:pt idx="36">
                  <c:v>125.31219722252128</c:v>
                </c:pt>
                <c:pt idx="37">
                  <c:v>109.16890946280546</c:v>
                </c:pt>
                <c:pt idx="38">
                  <c:v>119.36914630207772</c:v>
                </c:pt>
                <c:pt idx="39">
                  <c:v>117.77909355151253</c:v>
                </c:pt>
                <c:pt idx="40">
                  <c:v>115.99364840133492</c:v>
                </c:pt>
                <c:pt idx="41">
                  <c:v>105.189471417806</c:v>
                </c:pt>
                <c:pt idx="42">
                  <c:v>118.62417913661322</c:v>
                </c:pt>
                <c:pt idx="43">
                  <c:v>108.29960167940575</c:v>
                </c:pt>
                <c:pt idx="44">
                  <c:v>107.20637312950802</c:v>
                </c:pt>
                <c:pt idx="45">
                  <c:v>113.11712778555281</c:v>
                </c:pt>
                <c:pt idx="46">
                  <c:v>121.41080848315212</c:v>
                </c:pt>
                <c:pt idx="47">
                  <c:v>112.30057056733773</c:v>
                </c:pt>
                <c:pt idx="48">
                  <c:v>70.278286144902594</c:v>
                </c:pt>
                <c:pt idx="49">
                  <c:v>101.01733232856066</c:v>
                </c:pt>
                <c:pt idx="50">
                  <c:v>109.95693831413499</c:v>
                </c:pt>
                <c:pt idx="51">
                  <c:v>89.087092259661972</c:v>
                </c:pt>
                <c:pt idx="52">
                  <c:v>101.60943050920443</c:v>
                </c:pt>
                <c:pt idx="53">
                  <c:v>112.03950909678116</c:v>
                </c:pt>
                <c:pt idx="54">
                  <c:v>110.99849284099474</c:v>
                </c:pt>
                <c:pt idx="55">
                  <c:v>104.71848422865756</c:v>
                </c:pt>
                <c:pt idx="56">
                  <c:v>104.99838518678007</c:v>
                </c:pt>
                <c:pt idx="57">
                  <c:v>112.45989880503821</c:v>
                </c:pt>
                <c:pt idx="58">
                  <c:v>111.38443320055981</c:v>
                </c:pt>
                <c:pt idx="59">
                  <c:v>103.8480999031112</c:v>
                </c:pt>
                <c:pt idx="60">
                  <c:v>103.71299386370978</c:v>
                </c:pt>
                <c:pt idx="61">
                  <c:v>107.44267413069224</c:v>
                </c:pt>
                <c:pt idx="62">
                  <c:v>113.68015932823771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DA-4F7C-8257-E2B262B47521}"/>
            </c:ext>
          </c:extLst>
        </c:ser>
        <c:ser>
          <c:idx val="1"/>
          <c:order val="1"/>
          <c:tx>
            <c:strRef>
              <c:f>'new analysis'!$K$1</c:f>
              <c:strCache>
                <c:ptCount val="1"/>
                <c:pt idx="0">
                  <c:v>scaled(fingmax-min)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'new analysis'!$G$2:$G$64</c:f>
              <c:numCache>
                <c:formatCode>General</c:formatCode>
                <c:ptCount val="63"/>
                <c:pt idx="0" formatCode="#,##0.0">
                  <c:v>97</c:v>
                </c:pt>
                <c:pt idx="1">
                  <c:v>99</c:v>
                </c:pt>
                <c:pt idx="2">
                  <c:v>101</c:v>
                </c:pt>
                <c:pt idx="3">
                  <c:v>102</c:v>
                </c:pt>
                <c:pt idx="4">
                  <c:v>104</c:v>
                </c:pt>
                <c:pt idx="5">
                  <c:v>106</c:v>
                </c:pt>
                <c:pt idx="6" formatCode="#,##0.0">
                  <c:v>107</c:v>
                </c:pt>
                <c:pt idx="7">
                  <c:v>107</c:v>
                </c:pt>
                <c:pt idx="8">
                  <c:v>108</c:v>
                </c:pt>
                <c:pt idx="9" formatCode="#,##0.0">
                  <c:v>109</c:v>
                </c:pt>
                <c:pt idx="10" formatCode="#,##0.0">
                  <c:v>111</c:v>
                </c:pt>
                <c:pt idx="11">
                  <c:v>113</c:v>
                </c:pt>
                <c:pt idx="12">
                  <c:v>113</c:v>
                </c:pt>
                <c:pt idx="13">
                  <c:v>117</c:v>
                </c:pt>
                <c:pt idx="14" formatCode="#,##0.0">
                  <c:v>117</c:v>
                </c:pt>
                <c:pt idx="15" formatCode="#,##0.0">
                  <c:v>121</c:v>
                </c:pt>
                <c:pt idx="16" formatCode="#,##0.0">
                  <c:v>105</c:v>
                </c:pt>
                <c:pt idx="17">
                  <c:v>110</c:v>
                </c:pt>
                <c:pt idx="18">
                  <c:v>112</c:v>
                </c:pt>
                <c:pt idx="19">
                  <c:v>113</c:v>
                </c:pt>
                <c:pt idx="20">
                  <c:v>114</c:v>
                </c:pt>
                <c:pt idx="21">
                  <c:v>115</c:v>
                </c:pt>
                <c:pt idx="22">
                  <c:v>116</c:v>
                </c:pt>
                <c:pt idx="23">
                  <c:v>117</c:v>
                </c:pt>
                <c:pt idx="24">
                  <c:v>118</c:v>
                </c:pt>
                <c:pt idx="25" formatCode="#,##0.0">
                  <c:v>120</c:v>
                </c:pt>
                <c:pt idx="26" formatCode="#,##0.0">
                  <c:v>121</c:v>
                </c:pt>
                <c:pt idx="27">
                  <c:v>121</c:v>
                </c:pt>
                <c:pt idx="28" formatCode="#,##0.0">
                  <c:v>122</c:v>
                </c:pt>
                <c:pt idx="29">
                  <c:v>124</c:v>
                </c:pt>
                <c:pt idx="30" formatCode="#,##0.0">
                  <c:v>132</c:v>
                </c:pt>
                <c:pt idx="31" formatCode="#,##0.0">
                  <c:v>133</c:v>
                </c:pt>
                <c:pt idx="32" formatCode="#,##0.0">
                  <c:v>99</c:v>
                </c:pt>
                <c:pt idx="33">
                  <c:v>101</c:v>
                </c:pt>
                <c:pt idx="34">
                  <c:v>104</c:v>
                </c:pt>
                <c:pt idx="35">
                  <c:v>106</c:v>
                </c:pt>
                <c:pt idx="36">
                  <c:v>107</c:v>
                </c:pt>
                <c:pt idx="37">
                  <c:v>107</c:v>
                </c:pt>
                <c:pt idx="38">
                  <c:v>109</c:v>
                </c:pt>
                <c:pt idx="39" formatCode="#,##0.0">
                  <c:v>111</c:v>
                </c:pt>
                <c:pt idx="40">
                  <c:v>111</c:v>
                </c:pt>
                <c:pt idx="41">
                  <c:v>112</c:v>
                </c:pt>
                <c:pt idx="42">
                  <c:v>113</c:v>
                </c:pt>
                <c:pt idx="43" formatCode="#,##0.0">
                  <c:v>117</c:v>
                </c:pt>
                <c:pt idx="44" formatCode="#,##0.0">
                  <c:v>117</c:v>
                </c:pt>
                <c:pt idx="45">
                  <c:v>120</c:v>
                </c:pt>
                <c:pt idx="46" formatCode="#,##0.0">
                  <c:v>121</c:v>
                </c:pt>
                <c:pt idx="47" formatCode="#,##0.0">
                  <c:v>126</c:v>
                </c:pt>
                <c:pt idx="48" formatCode="#,##0.0">
                  <c:v>75</c:v>
                </c:pt>
                <c:pt idx="49" formatCode="#,##0.0">
                  <c:v>84</c:v>
                </c:pt>
                <c:pt idx="50">
                  <c:v>86</c:v>
                </c:pt>
                <c:pt idx="51">
                  <c:v>86</c:v>
                </c:pt>
                <c:pt idx="52">
                  <c:v>87</c:v>
                </c:pt>
                <c:pt idx="53">
                  <c:v>88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91</c:v>
                </c:pt>
                <c:pt idx="58" formatCode="#,##0.0">
                  <c:v>93</c:v>
                </c:pt>
                <c:pt idx="59">
                  <c:v>93</c:v>
                </c:pt>
                <c:pt idx="60" formatCode="#,##0.0">
                  <c:v>93</c:v>
                </c:pt>
                <c:pt idx="61" formatCode="#,##0.0">
                  <c:v>95</c:v>
                </c:pt>
                <c:pt idx="62" formatCode="#,##0.0">
                  <c:v>99</c:v>
                </c:pt>
              </c:numCache>
            </c:numRef>
          </c:xVal>
          <c:yVal>
            <c:numRef>
              <c:f>'new analysis'!$K$2:$K$64</c:f>
              <c:numCache>
                <c:formatCode>General</c:formatCode>
                <c:ptCount val="63"/>
                <c:pt idx="0">
                  <c:v>112.85983421250944</c:v>
                </c:pt>
                <c:pt idx="1">
                  <c:v>122.13478307675746</c:v>
                </c:pt>
                <c:pt idx="2">
                  <c:v>113.92022822693509</c:v>
                </c:pt>
                <c:pt idx="3">
                  <c:v>118.72214447195608</c:v>
                </c:pt>
                <c:pt idx="4">
                  <c:v>115.59532780708366</c:v>
                </c:pt>
                <c:pt idx="5">
                  <c:v>107.41737539024653</c:v>
                </c:pt>
                <c:pt idx="6">
                  <c:v>122.31671869953709</c:v>
                </c:pt>
                <c:pt idx="7">
                  <c:v>112.76348369038649</c:v>
                </c:pt>
                <c:pt idx="8">
                  <c:v>118.02023899235655</c:v>
                </c:pt>
                <c:pt idx="9">
                  <c:v>121.05447303261924</c:v>
                </c:pt>
                <c:pt idx="10">
                  <c:v>115.94466573366348</c:v>
                </c:pt>
                <c:pt idx="11">
                  <c:v>114.03165033911078</c:v>
                </c:pt>
                <c:pt idx="12">
                  <c:v>108.59188287221446</c:v>
                </c:pt>
                <c:pt idx="13">
                  <c:v>122.21067929809453</c:v>
                </c:pt>
                <c:pt idx="14">
                  <c:v>115.35310582409302</c:v>
                </c:pt>
                <c:pt idx="15">
                  <c:v>122.17676822047584</c:v>
                </c:pt>
                <c:pt idx="16">
                  <c:v>120.58886855420391</c:v>
                </c:pt>
                <c:pt idx="17">
                  <c:v>108.03531058240931</c:v>
                </c:pt>
                <c:pt idx="18">
                  <c:v>108.24792765636775</c:v>
                </c:pt>
                <c:pt idx="19">
                  <c:v>111.43180105501131</c:v>
                </c:pt>
                <c:pt idx="20">
                  <c:v>115.90321886101842</c:v>
                </c:pt>
                <c:pt idx="21">
                  <c:v>115.13618258154807</c:v>
                </c:pt>
                <c:pt idx="22">
                  <c:v>109.77661750457531</c:v>
                </c:pt>
                <c:pt idx="23">
                  <c:v>115.94789536010336</c:v>
                </c:pt>
                <c:pt idx="24">
                  <c:v>132.2822693508451</c:v>
                </c:pt>
                <c:pt idx="25">
                  <c:v>113.06599203358812</c:v>
                </c:pt>
                <c:pt idx="26">
                  <c:v>130.25621703089678</c:v>
                </c:pt>
                <c:pt idx="27">
                  <c:v>124.35568952524491</c:v>
                </c:pt>
                <c:pt idx="28">
                  <c:v>119.12530950586716</c:v>
                </c:pt>
                <c:pt idx="29">
                  <c:v>109.83259769619981</c:v>
                </c:pt>
                <c:pt idx="30">
                  <c:v>116.43341586823125</c:v>
                </c:pt>
                <c:pt idx="31">
                  <c:v>118.01324146840349</c:v>
                </c:pt>
                <c:pt idx="32">
                  <c:v>106.40704058563892</c:v>
                </c:pt>
                <c:pt idx="33">
                  <c:v>131.34298632791473</c:v>
                </c:pt>
                <c:pt idx="34">
                  <c:v>119.51232640757885</c:v>
                </c:pt>
                <c:pt idx="35">
                  <c:v>99.32231671869954</c:v>
                </c:pt>
                <c:pt idx="36">
                  <c:v>125.25029604909032</c:v>
                </c:pt>
                <c:pt idx="37">
                  <c:v>115.56464635590484</c:v>
                </c:pt>
                <c:pt idx="38">
                  <c:v>119.14091936699322</c:v>
                </c:pt>
                <c:pt idx="39">
                  <c:v>119.98385186780062</c:v>
                </c:pt>
                <c:pt idx="40">
                  <c:v>115.8983744213586</c:v>
                </c:pt>
                <c:pt idx="41">
                  <c:v>114.98116051243406</c:v>
                </c:pt>
                <c:pt idx="42">
                  <c:v>118.5251372591237</c:v>
                </c:pt>
                <c:pt idx="43">
                  <c:v>119.2943266228873</c:v>
                </c:pt>
                <c:pt idx="44">
                  <c:v>114.5225535579718</c:v>
                </c:pt>
                <c:pt idx="45">
                  <c:v>115.39724405210464</c:v>
                </c:pt>
                <c:pt idx="46">
                  <c:v>121.37366777909355</c:v>
                </c:pt>
                <c:pt idx="47">
                  <c:v>120.07804930563032</c:v>
                </c:pt>
                <c:pt idx="48">
                  <c:v>78.903541823662394</c:v>
                </c:pt>
                <c:pt idx="49">
                  <c:v>114.01765529120465</c:v>
                </c:pt>
                <c:pt idx="50">
                  <c:v>109.81914091936699</c:v>
                </c:pt>
                <c:pt idx="51">
                  <c:v>102.4808913768974</c:v>
                </c:pt>
                <c:pt idx="52">
                  <c:v>108.6623963828184</c:v>
                </c:pt>
                <c:pt idx="53">
                  <c:v>127.34201743998278</c:v>
                </c:pt>
                <c:pt idx="54">
                  <c:v>118.11228334589299</c:v>
                </c:pt>
                <c:pt idx="55">
                  <c:v>114.6474324469803</c:v>
                </c:pt>
                <c:pt idx="56">
                  <c:v>110.88384110237917</c:v>
                </c:pt>
                <c:pt idx="57">
                  <c:v>124.63828183873399</c:v>
                </c:pt>
                <c:pt idx="58">
                  <c:v>120.59048336742384</c:v>
                </c:pt>
                <c:pt idx="59">
                  <c:v>117.27581009796535</c:v>
                </c:pt>
                <c:pt idx="60">
                  <c:v>112.98094520400474</c:v>
                </c:pt>
                <c:pt idx="61">
                  <c:v>114.73140273441706</c:v>
                </c:pt>
                <c:pt idx="62">
                  <c:v>121.2595543115513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CA-4FC4-963F-0962CE475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587416"/>
        <c:axId val="590589384"/>
      </c:scatterChart>
      <c:valAx>
        <c:axId val="590587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589384"/>
        <c:crosses val="autoZero"/>
        <c:crossBetween val="midCat"/>
      </c:valAx>
      <c:valAx>
        <c:axId val="590589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587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'new analysis'!$H$1</c:f>
              <c:strCache>
                <c:ptCount val="1"/>
                <c:pt idx="0">
                  <c:v>scaled min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'new analysis'!$G$2:$G$64</c:f>
              <c:numCache>
                <c:formatCode>General</c:formatCode>
                <c:ptCount val="63"/>
                <c:pt idx="0" formatCode="#,##0.0">
                  <c:v>97</c:v>
                </c:pt>
                <c:pt idx="1">
                  <c:v>99</c:v>
                </c:pt>
                <c:pt idx="2">
                  <c:v>101</c:v>
                </c:pt>
                <c:pt idx="3">
                  <c:v>102</c:v>
                </c:pt>
                <c:pt idx="4">
                  <c:v>104</c:v>
                </c:pt>
                <c:pt idx="5">
                  <c:v>106</c:v>
                </c:pt>
                <c:pt idx="6" formatCode="#,##0.0">
                  <c:v>107</c:v>
                </c:pt>
                <c:pt idx="7">
                  <c:v>107</c:v>
                </c:pt>
                <c:pt idx="8">
                  <c:v>108</c:v>
                </c:pt>
                <c:pt idx="9" formatCode="#,##0.0">
                  <c:v>109</c:v>
                </c:pt>
                <c:pt idx="10" formatCode="#,##0.0">
                  <c:v>111</c:v>
                </c:pt>
                <c:pt idx="11">
                  <c:v>113</c:v>
                </c:pt>
                <c:pt idx="12">
                  <c:v>113</c:v>
                </c:pt>
                <c:pt idx="13">
                  <c:v>117</c:v>
                </c:pt>
                <c:pt idx="14" formatCode="#,##0.0">
                  <c:v>117</c:v>
                </c:pt>
                <c:pt idx="15" formatCode="#,##0.0">
                  <c:v>121</c:v>
                </c:pt>
                <c:pt idx="16" formatCode="#,##0.0">
                  <c:v>105</c:v>
                </c:pt>
                <c:pt idx="17">
                  <c:v>110</c:v>
                </c:pt>
                <c:pt idx="18">
                  <c:v>112</c:v>
                </c:pt>
                <c:pt idx="19">
                  <c:v>113</c:v>
                </c:pt>
                <c:pt idx="20">
                  <c:v>114</c:v>
                </c:pt>
                <c:pt idx="21">
                  <c:v>115</c:v>
                </c:pt>
                <c:pt idx="22">
                  <c:v>116</c:v>
                </c:pt>
                <c:pt idx="23">
                  <c:v>117</c:v>
                </c:pt>
                <c:pt idx="24">
                  <c:v>118</c:v>
                </c:pt>
                <c:pt idx="25" formatCode="#,##0.0">
                  <c:v>120</c:v>
                </c:pt>
                <c:pt idx="26" formatCode="#,##0.0">
                  <c:v>121</c:v>
                </c:pt>
                <c:pt idx="27">
                  <c:v>121</c:v>
                </c:pt>
                <c:pt idx="28" formatCode="#,##0.0">
                  <c:v>122</c:v>
                </c:pt>
                <c:pt idx="29">
                  <c:v>124</c:v>
                </c:pt>
                <c:pt idx="30" formatCode="#,##0.0">
                  <c:v>132</c:v>
                </c:pt>
                <c:pt idx="31" formatCode="#,##0.0">
                  <c:v>133</c:v>
                </c:pt>
                <c:pt idx="32" formatCode="#,##0.0">
                  <c:v>99</c:v>
                </c:pt>
                <c:pt idx="33">
                  <c:v>101</c:v>
                </c:pt>
                <c:pt idx="34">
                  <c:v>104</c:v>
                </c:pt>
                <c:pt idx="35">
                  <c:v>106</c:v>
                </c:pt>
                <c:pt idx="36">
                  <c:v>107</c:v>
                </c:pt>
                <c:pt idx="37">
                  <c:v>107</c:v>
                </c:pt>
                <c:pt idx="38">
                  <c:v>109</c:v>
                </c:pt>
                <c:pt idx="39" formatCode="#,##0.0">
                  <c:v>111</c:v>
                </c:pt>
                <c:pt idx="40">
                  <c:v>111</c:v>
                </c:pt>
                <c:pt idx="41">
                  <c:v>112</c:v>
                </c:pt>
                <c:pt idx="42">
                  <c:v>113</c:v>
                </c:pt>
                <c:pt idx="43" formatCode="#,##0.0">
                  <c:v>117</c:v>
                </c:pt>
                <c:pt idx="44" formatCode="#,##0.0">
                  <c:v>117</c:v>
                </c:pt>
                <c:pt idx="45">
                  <c:v>120</c:v>
                </c:pt>
                <c:pt idx="46" formatCode="#,##0.0">
                  <c:v>121</c:v>
                </c:pt>
                <c:pt idx="47" formatCode="#,##0.0">
                  <c:v>126</c:v>
                </c:pt>
                <c:pt idx="48" formatCode="#,##0.0">
                  <c:v>75</c:v>
                </c:pt>
                <c:pt idx="49" formatCode="#,##0.0">
                  <c:v>84</c:v>
                </c:pt>
                <c:pt idx="50">
                  <c:v>86</c:v>
                </c:pt>
                <c:pt idx="51">
                  <c:v>86</c:v>
                </c:pt>
                <c:pt idx="52">
                  <c:v>87</c:v>
                </c:pt>
                <c:pt idx="53">
                  <c:v>88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91</c:v>
                </c:pt>
                <c:pt idx="58" formatCode="#,##0.0">
                  <c:v>93</c:v>
                </c:pt>
                <c:pt idx="59">
                  <c:v>93</c:v>
                </c:pt>
                <c:pt idx="60" formatCode="#,##0.0">
                  <c:v>93</c:v>
                </c:pt>
                <c:pt idx="61" formatCode="#,##0.0">
                  <c:v>95</c:v>
                </c:pt>
                <c:pt idx="62" formatCode="#,##0.0">
                  <c:v>99</c:v>
                </c:pt>
              </c:numCache>
            </c:numRef>
          </c:xVal>
          <c:yVal>
            <c:numRef>
              <c:f>'new analysis'!$H$2:$H$64</c:f>
              <c:numCache>
                <c:formatCode>General</c:formatCode>
                <c:ptCount val="63"/>
                <c:pt idx="0">
                  <c:v>52.658520831090534</c:v>
                </c:pt>
                <c:pt idx="1">
                  <c:v>43.383571966842503</c:v>
                </c:pt>
                <c:pt idx="2">
                  <c:v>51.598126816664873</c:v>
                </c:pt>
                <c:pt idx="3">
                  <c:v>46.796210571643883</c:v>
                </c:pt>
                <c:pt idx="4">
                  <c:v>49.923027236516312</c:v>
                </c:pt>
                <c:pt idx="5">
                  <c:v>58.100979653353434</c:v>
                </c:pt>
                <c:pt idx="6">
                  <c:v>43.201636344062869</c:v>
                </c:pt>
                <c:pt idx="7">
                  <c:v>52.754871353213481</c:v>
                </c:pt>
                <c:pt idx="8">
                  <c:v>47.498116051243407</c:v>
                </c:pt>
                <c:pt idx="9">
                  <c:v>44.463882010980726</c:v>
                </c:pt>
                <c:pt idx="10">
                  <c:v>49.573689309936483</c:v>
                </c:pt>
                <c:pt idx="11">
                  <c:v>51.486704704489185</c:v>
                </c:pt>
                <c:pt idx="12">
                  <c:v>56.926472171385505</c:v>
                </c:pt>
                <c:pt idx="13">
                  <c:v>43.307675745505442</c:v>
                </c:pt>
                <c:pt idx="14">
                  <c:v>50.165249219506947</c:v>
                </c:pt>
                <c:pt idx="15">
                  <c:v>43.341586823124132</c:v>
                </c:pt>
                <c:pt idx="16">
                  <c:v>41.323070298202175</c:v>
                </c:pt>
                <c:pt idx="17">
                  <c:v>53.876628269996772</c:v>
                </c:pt>
                <c:pt idx="18">
                  <c:v>53.664011196038331</c:v>
                </c:pt>
                <c:pt idx="19">
                  <c:v>50.480137797394775</c:v>
                </c:pt>
                <c:pt idx="20">
                  <c:v>46.008719991387665</c:v>
                </c:pt>
                <c:pt idx="21">
                  <c:v>46.775756270858004</c:v>
                </c:pt>
                <c:pt idx="22">
                  <c:v>52.135321347830775</c:v>
                </c:pt>
                <c:pt idx="23">
                  <c:v>45.964043492302721</c:v>
                </c:pt>
                <c:pt idx="24">
                  <c:v>29.62966950156099</c:v>
                </c:pt>
                <c:pt idx="25">
                  <c:v>48.845946818817957</c:v>
                </c:pt>
                <c:pt idx="26">
                  <c:v>31.655721821509314</c:v>
                </c:pt>
                <c:pt idx="27">
                  <c:v>37.556249327161161</c:v>
                </c:pt>
                <c:pt idx="28">
                  <c:v>42.786629346538916</c:v>
                </c:pt>
                <c:pt idx="29">
                  <c:v>52.079341156206269</c:v>
                </c:pt>
                <c:pt idx="30">
                  <c:v>45.47852298417483</c:v>
                </c:pt>
                <c:pt idx="31">
                  <c:v>43.898697384002581</c:v>
                </c:pt>
                <c:pt idx="32">
                  <c:v>59.972548175261068</c:v>
                </c:pt>
                <c:pt idx="33">
                  <c:v>35.036602432985248</c:v>
                </c:pt>
                <c:pt idx="34">
                  <c:v>46.867262353321138</c:v>
                </c:pt>
                <c:pt idx="35">
                  <c:v>67.057272042200452</c:v>
                </c:pt>
                <c:pt idx="36">
                  <c:v>41.129292711809669</c:v>
                </c:pt>
                <c:pt idx="37">
                  <c:v>50.814942404995158</c:v>
                </c:pt>
                <c:pt idx="38">
                  <c:v>47.238669393906775</c:v>
                </c:pt>
                <c:pt idx="39">
                  <c:v>46.395736893099368</c:v>
                </c:pt>
                <c:pt idx="40">
                  <c:v>50.481214339541395</c:v>
                </c:pt>
                <c:pt idx="41">
                  <c:v>51.398428248465926</c:v>
                </c:pt>
                <c:pt idx="42">
                  <c:v>47.854451501776296</c:v>
                </c:pt>
                <c:pt idx="43">
                  <c:v>47.085262138012702</c:v>
                </c:pt>
                <c:pt idx="44">
                  <c:v>51.857035202928195</c:v>
                </c:pt>
                <c:pt idx="45">
                  <c:v>50.982344708795353</c:v>
                </c:pt>
                <c:pt idx="46">
                  <c:v>45.00592098180644</c:v>
                </c:pt>
                <c:pt idx="47">
                  <c:v>46.301539455269676</c:v>
                </c:pt>
                <c:pt idx="48">
                  <c:v>83.654322316718705</c:v>
                </c:pt>
                <c:pt idx="49">
                  <c:v>48.540208849176445</c:v>
                </c:pt>
                <c:pt idx="50">
                  <c:v>52.738723221014105</c:v>
                </c:pt>
                <c:pt idx="51">
                  <c:v>60.076972763483688</c:v>
                </c:pt>
                <c:pt idx="52">
                  <c:v>53.895467757562706</c:v>
                </c:pt>
                <c:pt idx="53">
                  <c:v>35.215846700398323</c:v>
                </c:pt>
                <c:pt idx="54">
                  <c:v>44.445580794488109</c:v>
                </c:pt>
                <c:pt idx="55">
                  <c:v>47.910431693400803</c:v>
                </c:pt>
                <c:pt idx="56">
                  <c:v>51.674023038001941</c:v>
                </c:pt>
                <c:pt idx="57">
                  <c:v>37.919582301647111</c:v>
                </c:pt>
                <c:pt idx="58">
                  <c:v>41.967380772957263</c:v>
                </c:pt>
                <c:pt idx="59">
                  <c:v>45.282054042415758</c:v>
                </c:pt>
                <c:pt idx="60">
                  <c:v>49.576918936376359</c:v>
                </c:pt>
                <c:pt idx="61">
                  <c:v>47.826461405964046</c:v>
                </c:pt>
                <c:pt idx="62">
                  <c:v>41.298309828829801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13-4277-94E8-C91778E60FA6}"/>
            </c:ext>
          </c:extLst>
        </c:ser>
        <c:ser>
          <c:idx val="1"/>
          <c:order val="1"/>
          <c:tx>
            <c:strRef>
              <c:f>'new analysis'!$I$1</c:f>
              <c:strCache>
                <c:ptCount val="1"/>
                <c:pt idx="0">
                  <c:v>scaled max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'new analysis'!$G$2:$G$64</c:f>
              <c:numCache>
                <c:formatCode>General</c:formatCode>
                <c:ptCount val="63"/>
                <c:pt idx="0" formatCode="#,##0.0">
                  <c:v>97</c:v>
                </c:pt>
                <c:pt idx="1">
                  <c:v>99</c:v>
                </c:pt>
                <c:pt idx="2">
                  <c:v>101</c:v>
                </c:pt>
                <c:pt idx="3">
                  <c:v>102</c:v>
                </c:pt>
                <c:pt idx="4">
                  <c:v>104</c:v>
                </c:pt>
                <c:pt idx="5">
                  <c:v>106</c:v>
                </c:pt>
                <c:pt idx="6" formatCode="#,##0.0">
                  <c:v>107</c:v>
                </c:pt>
                <c:pt idx="7">
                  <c:v>107</c:v>
                </c:pt>
                <c:pt idx="8">
                  <c:v>108</c:v>
                </c:pt>
                <c:pt idx="9" formatCode="#,##0.0">
                  <c:v>109</c:v>
                </c:pt>
                <c:pt idx="10" formatCode="#,##0.0">
                  <c:v>111</c:v>
                </c:pt>
                <c:pt idx="11">
                  <c:v>113</c:v>
                </c:pt>
                <c:pt idx="12">
                  <c:v>113</c:v>
                </c:pt>
                <c:pt idx="13">
                  <c:v>117</c:v>
                </c:pt>
                <c:pt idx="14" formatCode="#,##0.0">
                  <c:v>117</c:v>
                </c:pt>
                <c:pt idx="15" formatCode="#,##0.0">
                  <c:v>121</c:v>
                </c:pt>
                <c:pt idx="16" formatCode="#,##0.0">
                  <c:v>105</c:v>
                </c:pt>
                <c:pt idx="17">
                  <c:v>110</c:v>
                </c:pt>
                <c:pt idx="18">
                  <c:v>112</c:v>
                </c:pt>
                <c:pt idx="19">
                  <c:v>113</c:v>
                </c:pt>
                <c:pt idx="20">
                  <c:v>114</c:v>
                </c:pt>
                <c:pt idx="21">
                  <c:v>115</c:v>
                </c:pt>
                <c:pt idx="22">
                  <c:v>116</c:v>
                </c:pt>
                <c:pt idx="23">
                  <c:v>117</c:v>
                </c:pt>
                <c:pt idx="24">
                  <c:v>118</c:v>
                </c:pt>
                <c:pt idx="25" formatCode="#,##0.0">
                  <c:v>120</c:v>
                </c:pt>
                <c:pt idx="26" formatCode="#,##0.0">
                  <c:v>121</c:v>
                </c:pt>
                <c:pt idx="27">
                  <c:v>121</c:v>
                </c:pt>
                <c:pt idx="28" formatCode="#,##0.0">
                  <c:v>122</c:v>
                </c:pt>
                <c:pt idx="29">
                  <c:v>124</c:v>
                </c:pt>
                <c:pt idx="30" formatCode="#,##0.0">
                  <c:v>132</c:v>
                </c:pt>
                <c:pt idx="31" formatCode="#,##0.0">
                  <c:v>133</c:v>
                </c:pt>
                <c:pt idx="32" formatCode="#,##0.0">
                  <c:v>99</c:v>
                </c:pt>
                <c:pt idx="33">
                  <c:v>101</c:v>
                </c:pt>
                <c:pt idx="34">
                  <c:v>104</c:v>
                </c:pt>
                <c:pt idx="35">
                  <c:v>106</c:v>
                </c:pt>
                <c:pt idx="36">
                  <c:v>107</c:v>
                </c:pt>
                <c:pt idx="37">
                  <c:v>107</c:v>
                </c:pt>
                <c:pt idx="38">
                  <c:v>109</c:v>
                </c:pt>
                <c:pt idx="39" formatCode="#,##0.0">
                  <c:v>111</c:v>
                </c:pt>
                <c:pt idx="40">
                  <c:v>111</c:v>
                </c:pt>
                <c:pt idx="41">
                  <c:v>112</c:v>
                </c:pt>
                <c:pt idx="42">
                  <c:v>113</c:v>
                </c:pt>
                <c:pt idx="43" formatCode="#,##0.0">
                  <c:v>117</c:v>
                </c:pt>
                <c:pt idx="44" formatCode="#,##0.0">
                  <c:v>117</c:v>
                </c:pt>
                <c:pt idx="45">
                  <c:v>120</c:v>
                </c:pt>
                <c:pt idx="46" formatCode="#,##0.0">
                  <c:v>121</c:v>
                </c:pt>
                <c:pt idx="47" formatCode="#,##0.0">
                  <c:v>126</c:v>
                </c:pt>
                <c:pt idx="48" formatCode="#,##0.0">
                  <c:v>75</c:v>
                </c:pt>
                <c:pt idx="49" formatCode="#,##0.0">
                  <c:v>84</c:v>
                </c:pt>
                <c:pt idx="50">
                  <c:v>86</c:v>
                </c:pt>
                <c:pt idx="51">
                  <c:v>86</c:v>
                </c:pt>
                <c:pt idx="52">
                  <c:v>87</c:v>
                </c:pt>
                <c:pt idx="53">
                  <c:v>88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91</c:v>
                </c:pt>
                <c:pt idx="58" formatCode="#,##0.0">
                  <c:v>93</c:v>
                </c:pt>
                <c:pt idx="59">
                  <c:v>93</c:v>
                </c:pt>
                <c:pt idx="60" formatCode="#,##0.0">
                  <c:v>93</c:v>
                </c:pt>
                <c:pt idx="61" formatCode="#,##0.0">
                  <c:v>95</c:v>
                </c:pt>
                <c:pt idx="62" formatCode="#,##0.0">
                  <c:v>99</c:v>
                </c:pt>
              </c:numCache>
            </c:numRef>
          </c:xVal>
          <c:yVal>
            <c:numRef>
              <c:f>'new analysis'!$I$2:$I$64</c:f>
              <c:numCache>
                <c:formatCode>General</c:formatCode>
                <c:ptCount val="63"/>
                <c:pt idx="0">
                  <c:v>158.95736893099365</c:v>
                </c:pt>
                <c:pt idx="1">
                  <c:v>152.55517278501455</c:v>
                </c:pt>
                <c:pt idx="2">
                  <c:v>161.44956400043063</c:v>
                </c:pt>
                <c:pt idx="3">
                  <c:v>153.26945849930024</c:v>
                </c:pt>
                <c:pt idx="4">
                  <c:v>165.6060932285499</c:v>
                </c:pt>
                <c:pt idx="5">
                  <c:v>159.70448918075141</c:v>
                </c:pt>
                <c:pt idx="6">
                  <c:v>165.64754010119498</c:v>
                </c:pt>
                <c:pt idx="7">
                  <c:v>162.24835827322642</c:v>
                </c:pt>
                <c:pt idx="8">
                  <c:v>157.00344493486921</c:v>
                </c:pt>
                <c:pt idx="9">
                  <c:v>154.16514156529229</c:v>
                </c:pt>
                <c:pt idx="10">
                  <c:v>153.36527075034988</c:v>
                </c:pt>
                <c:pt idx="11">
                  <c:v>165.59263645171708</c:v>
                </c:pt>
                <c:pt idx="12">
                  <c:v>160.28905156636881</c:v>
                </c:pt>
                <c:pt idx="13">
                  <c:v>153.0702982021746</c:v>
                </c:pt>
                <c:pt idx="14">
                  <c:v>165.52373775433307</c:v>
                </c:pt>
                <c:pt idx="15">
                  <c:v>155.40101194961784</c:v>
                </c:pt>
                <c:pt idx="16">
                  <c:v>161.79621057164388</c:v>
                </c:pt>
                <c:pt idx="17">
                  <c:v>162.2219829906341</c:v>
                </c:pt>
                <c:pt idx="18">
                  <c:v>162.11971148670472</c:v>
                </c:pt>
                <c:pt idx="19">
                  <c:v>162.22305953278072</c:v>
                </c:pt>
                <c:pt idx="20">
                  <c:v>161.70739584454731</c:v>
                </c:pt>
                <c:pt idx="21">
                  <c:v>162.22144471956076</c:v>
                </c:pt>
                <c:pt idx="22">
                  <c:v>162.07557325869308</c:v>
                </c:pt>
                <c:pt idx="23">
                  <c:v>162.22628915922058</c:v>
                </c:pt>
                <c:pt idx="24">
                  <c:v>162.19130153945528</c:v>
                </c:pt>
                <c:pt idx="25">
                  <c:v>159.97577780170096</c:v>
                </c:pt>
                <c:pt idx="26">
                  <c:v>162.14016578749056</c:v>
                </c:pt>
                <c:pt idx="27">
                  <c:v>162.12509419743785</c:v>
                </c:pt>
                <c:pt idx="28">
                  <c:v>162.10840779416515</c:v>
                </c:pt>
                <c:pt idx="29">
                  <c:v>162.09818064377222</c:v>
                </c:pt>
                <c:pt idx="30">
                  <c:v>159.53654860587793</c:v>
                </c:pt>
                <c:pt idx="31">
                  <c:v>162.01905479599526</c:v>
                </c:pt>
                <c:pt idx="32">
                  <c:v>157.87867370007538</c:v>
                </c:pt>
                <c:pt idx="33">
                  <c:v>164.29109699644741</c:v>
                </c:pt>
                <c:pt idx="34">
                  <c:v>166.50123802346863</c:v>
                </c:pt>
                <c:pt idx="35">
                  <c:v>166.49047260200237</c:v>
                </c:pt>
                <c:pt idx="36">
                  <c:v>166.44148993433095</c:v>
                </c:pt>
                <c:pt idx="37">
                  <c:v>159.98385186780061</c:v>
                </c:pt>
                <c:pt idx="38">
                  <c:v>166.6078156959845</c:v>
                </c:pt>
                <c:pt idx="39">
                  <c:v>164.1748304446119</c:v>
                </c:pt>
                <c:pt idx="40">
                  <c:v>166.47486274087632</c:v>
                </c:pt>
                <c:pt idx="41">
                  <c:v>156.58789966627194</c:v>
                </c:pt>
                <c:pt idx="42">
                  <c:v>166.47863063838952</c:v>
                </c:pt>
                <c:pt idx="43">
                  <c:v>155.38486381741845</c:v>
                </c:pt>
                <c:pt idx="44">
                  <c:v>159.06340833243621</c:v>
                </c:pt>
                <c:pt idx="45">
                  <c:v>164.09947249434816</c:v>
                </c:pt>
                <c:pt idx="46">
                  <c:v>166.41672946495856</c:v>
                </c:pt>
                <c:pt idx="47">
                  <c:v>158.60211002260741</c:v>
                </c:pt>
                <c:pt idx="48">
                  <c:v>153.9326084616213</c:v>
                </c:pt>
                <c:pt idx="49">
                  <c:v>149.55754117773711</c:v>
                </c:pt>
                <c:pt idx="50">
                  <c:v>162.6956615351491</c:v>
                </c:pt>
                <c:pt idx="51">
                  <c:v>149.16406502314567</c:v>
                </c:pt>
                <c:pt idx="52">
                  <c:v>155.50489826676713</c:v>
                </c:pt>
                <c:pt idx="53">
                  <c:v>147.25535579717948</c:v>
                </c:pt>
                <c:pt idx="54">
                  <c:v>155.44407363548285</c:v>
                </c:pt>
                <c:pt idx="55">
                  <c:v>152.62891592205835</c:v>
                </c:pt>
                <c:pt idx="56">
                  <c:v>156.672408224782</c:v>
                </c:pt>
                <c:pt idx="57">
                  <c:v>150.37948110668532</c:v>
                </c:pt>
                <c:pt idx="58">
                  <c:v>153.35181397351707</c:v>
                </c:pt>
                <c:pt idx="59">
                  <c:v>149.13015394552696</c:v>
                </c:pt>
                <c:pt idx="60">
                  <c:v>153.28991280008614</c:v>
                </c:pt>
                <c:pt idx="61">
                  <c:v>155.26913553665628</c:v>
                </c:pt>
                <c:pt idx="62">
                  <c:v>154.97846915706751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13-4277-94E8-C91778E60FA6}"/>
            </c:ext>
          </c:extLst>
        </c:ser>
        <c:ser>
          <c:idx val="2"/>
          <c:order val="2"/>
          <c:tx>
            <c:strRef>
              <c:f>'new analysis'!$J$1</c:f>
              <c:strCache>
                <c:ptCount val="1"/>
                <c:pt idx="0">
                  <c:v>scaled (max-min)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'new analysis'!$G$2:$G$64</c:f>
              <c:numCache>
                <c:formatCode>General</c:formatCode>
                <c:ptCount val="63"/>
                <c:pt idx="0" formatCode="#,##0.0">
                  <c:v>97</c:v>
                </c:pt>
                <c:pt idx="1">
                  <c:v>99</c:v>
                </c:pt>
                <c:pt idx="2">
                  <c:v>101</c:v>
                </c:pt>
                <c:pt idx="3">
                  <c:v>102</c:v>
                </c:pt>
                <c:pt idx="4">
                  <c:v>104</c:v>
                </c:pt>
                <c:pt idx="5">
                  <c:v>106</c:v>
                </c:pt>
                <c:pt idx="6" formatCode="#,##0.0">
                  <c:v>107</c:v>
                </c:pt>
                <c:pt idx="7">
                  <c:v>107</c:v>
                </c:pt>
                <c:pt idx="8">
                  <c:v>108</c:v>
                </c:pt>
                <c:pt idx="9" formatCode="#,##0.0">
                  <c:v>109</c:v>
                </c:pt>
                <c:pt idx="10" formatCode="#,##0.0">
                  <c:v>111</c:v>
                </c:pt>
                <c:pt idx="11">
                  <c:v>113</c:v>
                </c:pt>
                <c:pt idx="12">
                  <c:v>113</c:v>
                </c:pt>
                <c:pt idx="13">
                  <c:v>117</c:v>
                </c:pt>
                <c:pt idx="14" formatCode="#,##0.0">
                  <c:v>117</c:v>
                </c:pt>
                <c:pt idx="15" formatCode="#,##0.0">
                  <c:v>121</c:v>
                </c:pt>
                <c:pt idx="16" formatCode="#,##0.0">
                  <c:v>105</c:v>
                </c:pt>
                <c:pt idx="17">
                  <c:v>110</c:v>
                </c:pt>
                <c:pt idx="18">
                  <c:v>112</c:v>
                </c:pt>
                <c:pt idx="19">
                  <c:v>113</c:v>
                </c:pt>
                <c:pt idx="20">
                  <c:v>114</c:v>
                </c:pt>
                <c:pt idx="21">
                  <c:v>115</c:v>
                </c:pt>
                <c:pt idx="22">
                  <c:v>116</c:v>
                </c:pt>
                <c:pt idx="23">
                  <c:v>117</c:v>
                </c:pt>
                <c:pt idx="24">
                  <c:v>118</c:v>
                </c:pt>
                <c:pt idx="25" formatCode="#,##0.0">
                  <c:v>120</c:v>
                </c:pt>
                <c:pt idx="26" formatCode="#,##0.0">
                  <c:v>121</c:v>
                </c:pt>
                <c:pt idx="27">
                  <c:v>121</c:v>
                </c:pt>
                <c:pt idx="28" formatCode="#,##0.0">
                  <c:v>122</c:v>
                </c:pt>
                <c:pt idx="29">
                  <c:v>124</c:v>
                </c:pt>
                <c:pt idx="30" formatCode="#,##0.0">
                  <c:v>132</c:v>
                </c:pt>
                <c:pt idx="31" formatCode="#,##0.0">
                  <c:v>133</c:v>
                </c:pt>
                <c:pt idx="32" formatCode="#,##0.0">
                  <c:v>99</c:v>
                </c:pt>
                <c:pt idx="33">
                  <c:v>101</c:v>
                </c:pt>
                <c:pt idx="34">
                  <c:v>104</c:v>
                </c:pt>
                <c:pt idx="35">
                  <c:v>106</c:v>
                </c:pt>
                <c:pt idx="36">
                  <c:v>107</c:v>
                </c:pt>
                <c:pt idx="37">
                  <c:v>107</c:v>
                </c:pt>
                <c:pt idx="38">
                  <c:v>109</c:v>
                </c:pt>
                <c:pt idx="39" formatCode="#,##0.0">
                  <c:v>111</c:v>
                </c:pt>
                <c:pt idx="40">
                  <c:v>111</c:v>
                </c:pt>
                <c:pt idx="41">
                  <c:v>112</c:v>
                </c:pt>
                <c:pt idx="42">
                  <c:v>113</c:v>
                </c:pt>
                <c:pt idx="43" formatCode="#,##0.0">
                  <c:v>117</c:v>
                </c:pt>
                <c:pt idx="44" formatCode="#,##0.0">
                  <c:v>117</c:v>
                </c:pt>
                <c:pt idx="45">
                  <c:v>120</c:v>
                </c:pt>
                <c:pt idx="46" formatCode="#,##0.0">
                  <c:v>121</c:v>
                </c:pt>
                <c:pt idx="47" formatCode="#,##0.0">
                  <c:v>126</c:v>
                </c:pt>
                <c:pt idx="48" formatCode="#,##0.0">
                  <c:v>75</c:v>
                </c:pt>
                <c:pt idx="49" formatCode="#,##0.0">
                  <c:v>84</c:v>
                </c:pt>
                <c:pt idx="50">
                  <c:v>86</c:v>
                </c:pt>
                <c:pt idx="51">
                  <c:v>86</c:v>
                </c:pt>
                <c:pt idx="52">
                  <c:v>87</c:v>
                </c:pt>
                <c:pt idx="53">
                  <c:v>88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91</c:v>
                </c:pt>
                <c:pt idx="58" formatCode="#,##0.0">
                  <c:v>93</c:v>
                </c:pt>
                <c:pt idx="59">
                  <c:v>93</c:v>
                </c:pt>
                <c:pt idx="60" formatCode="#,##0.0">
                  <c:v>93</c:v>
                </c:pt>
                <c:pt idx="61" formatCode="#,##0.0">
                  <c:v>95</c:v>
                </c:pt>
                <c:pt idx="62" formatCode="#,##0.0">
                  <c:v>99</c:v>
                </c:pt>
              </c:numCache>
            </c:numRef>
          </c:xVal>
          <c:yVal>
            <c:numRef>
              <c:f>'new analysis'!$J$2:$J$64</c:f>
              <c:numCache>
                <c:formatCode>General</c:formatCode>
                <c:ptCount val="63"/>
                <c:pt idx="0">
                  <c:v>106.29884809990313</c:v>
                </c:pt>
                <c:pt idx="1">
                  <c:v>109.17160081817204</c:v>
                </c:pt>
                <c:pt idx="2">
                  <c:v>109.85143718376575</c:v>
                </c:pt>
                <c:pt idx="3">
                  <c:v>106.47324792765636</c:v>
                </c:pt>
                <c:pt idx="4">
                  <c:v>115.68306599203359</c:v>
                </c:pt>
                <c:pt idx="5">
                  <c:v>101.60350952739797</c:v>
                </c:pt>
                <c:pt idx="6">
                  <c:v>122.4459037571321</c:v>
                </c:pt>
                <c:pt idx="7">
                  <c:v>109.49348692001294</c:v>
                </c:pt>
                <c:pt idx="8">
                  <c:v>109.50532888362579</c:v>
                </c:pt>
                <c:pt idx="9">
                  <c:v>109.70125955431156</c:v>
                </c:pt>
                <c:pt idx="10">
                  <c:v>103.7915814404134</c:v>
                </c:pt>
                <c:pt idx="11">
                  <c:v>114.1059317472279</c:v>
                </c:pt>
                <c:pt idx="12">
                  <c:v>103.3625793949833</c:v>
                </c:pt>
                <c:pt idx="13">
                  <c:v>109.76262245666916</c:v>
                </c:pt>
                <c:pt idx="14">
                  <c:v>115.35848853482612</c:v>
                </c:pt>
                <c:pt idx="15">
                  <c:v>112.05942512649371</c:v>
                </c:pt>
                <c:pt idx="16">
                  <c:v>120.47314027344171</c:v>
                </c:pt>
                <c:pt idx="17">
                  <c:v>108.34535472063733</c:v>
                </c:pt>
                <c:pt idx="18">
                  <c:v>108.45570029066639</c:v>
                </c:pt>
                <c:pt idx="19">
                  <c:v>111.74292173538595</c:v>
                </c:pt>
                <c:pt idx="20">
                  <c:v>115.69867585315964</c:v>
                </c:pt>
                <c:pt idx="21">
                  <c:v>115.44568844870275</c:v>
                </c:pt>
                <c:pt idx="22">
                  <c:v>109.94025191086232</c:v>
                </c:pt>
                <c:pt idx="23">
                  <c:v>116.26224566691786</c:v>
                </c:pt>
                <c:pt idx="24">
                  <c:v>132.5616320378943</c:v>
                </c:pt>
                <c:pt idx="25">
                  <c:v>111.12983098288299</c:v>
                </c:pt>
                <c:pt idx="26">
                  <c:v>130.48444396598126</c:v>
                </c:pt>
                <c:pt idx="27">
                  <c:v>124.56884487027668</c:v>
                </c:pt>
                <c:pt idx="28">
                  <c:v>119.32177844762623</c:v>
                </c:pt>
                <c:pt idx="29">
                  <c:v>110.01883948756596</c:v>
                </c:pt>
                <c:pt idx="30">
                  <c:v>114.05802562170309</c:v>
                </c:pt>
                <c:pt idx="31">
                  <c:v>118.12035741199267</c:v>
                </c:pt>
                <c:pt idx="32">
                  <c:v>97.906125524814314</c:v>
                </c:pt>
                <c:pt idx="33">
                  <c:v>129.25449456346217</c:v>
                </c:pt>
                <c:pt idx="34">
                  <c:v>119.63397567014749</c:v>
                </c:pt>
                <c:pt idx="35">
                  <c:v>99.433200559801918</c:v>
                </c:pt>
                <c:pt idx="36">
                  <c:v>125.31219722252128</c:v>
                </c:pt>
                <c:pt idx="37">
                  <c:v>109.16890946280546</c:v>
                </c:pt>
                <c:pt idx="38">
                  <c:v>119.36914630207772</c:v>
                </c:pt>
                <c:pt idx="39">
                  <c:v>117.77909355151253</c:v>
                </c:pt>
                <c:pt idx="40">
                  <c:v>115.99364840133492</c:v>
                </c:pt>
                <c:pt idx="41">
                  <c:v>105.189471417806</c:v>
                </c:pt>
                <c:pt idx="42">
                  <c:v>118.62417913661322</c:v>
                </c:pt>
                <c:pt idx="43">
                  <c:v>108.29960167940575</c:v>
                </c:pt>
                <c:pt idx="44">
                  <c:v>107.20637312950802</c:v>
                </c:pt>
                <c:pt idx="45">
                  <c:v>113.11712778555281</c:v>
                </c:pt>
                <c:pt idx="46">
                  <c:v>121.41080848315212</c:v>
                </c:pt>
                <c:pt idx="47">
                  <c:v>112.30057056733773</c:v>
                </c:pt>
                <c:pt idx="48">
                  <c:v>70.278286144902594</c:v>
                </c:pt>
                <c:pt idx="49">
                  <c:v>101.01733232856066</c:v>
                </c:pt>
                <c:pt idx="50">
                  <c:v>109.95693831413499</c:v>
                </c:pt>
                <c:pt idx="51">
                  <c:v>89.087092259661972</c:v>
                </c:pt>
                <c:pt idx="52">
                  <c:v>101.60943050920443</c:v>
                </c:pt>
                <c:pt idx="53">
                  <c:v>112.03950909678116</c:v>
                </c:pt>
                <c:pt idx="54">
                  <c:v>110.99849284099474</c:v>
                </c:pt>
                <c:pt idx="55">
                  <c:v>104.71848422865756</c:v>
                </c:pt>
                <c:pt idx="56">
                  <c:v>104.99838518678007</c:v>
                </c:pt>
                <c:pt idx="57">
                  <c:v>112.45989880503821</c:v>
                </c:pt>
                <c:pt idx="58">
                  <c:v>111.38443320055981</c:v>
                </c:pt>
                <c:pt idx="59">
                  <c:v>103.8480999031112</c:v>
                </c:pt>
                <c:pt idx="60">
                  <c:v>103.71299386370978</c:v>
                </c:pt>
                <c:pt idx="61">
                  <c:v>107.44267413069224</c:v>
                </c:pt>
                <c:pt idx="62">
                  <c:v>113.68015932823771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13-4277-94E8-C91778E60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785088"/>
        <c:axId val="589265792"/>
      </c:scatterChart>
      <c:valAx>
        <c:axId val="58378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265792"/>
        <c:crosses val="autoZero"/>
        <c:crossBetween val="midCat"/>
      </c:valAx>
      <c:valAx>
        <c:axId val="58926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78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'further analysis'!$B$1</c:f>
              <c:strCache>
                <c:ptCount val="1"/>
                <c:pt idx="0">
                  <c:v>cos 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'further analysis'!$B$2:$B$14</c:f>
              <c:numCache>
                <c:formatCode>General</c:formatCode>
                <c:ptCount val="13"/>
                <c:pt idx="0">
                  <c:v>0.67561444974672713</c:v>
                </c:pt>
                <c:pt idx="1">
                  <c:v>0.7289490767383513</c:v>
                </c:pt>
                <c:pt idx="2">
                  <c:v>0.71369214506990897</c:v>
                </c:pt>
                <c:pt idx="3">
                  <c:v>0.64057555761472806</c:v>
                </c:pt>
                <c:pt idx="4">
                  <c:v>0.72677164507899505</c:v>
                </c:pt>
                <c:pt idx="5">
                  <c:v>0.60656412290588713</c:v>
                </c:pt>
                <c:pt idx="6">
                  <c:v>0.7272747805264721</c:v>
                </c:pt>
                <c:pt idx="7">
                  <c:v>0.64846953732827506</c:v>
                </c:pt>
                <c:pt idx="8">
                  <c:v>0.68459531695970266</c:v>
                </c:pt>
                <c:pt idx="9">
                  <c:v>0.5284238187773066</c:v>
                </c:pt>
                <c:pt idx="10">
                  <c:v>0.62117340140637012</c:v>
                </c:pt>
                <c:pt idx="11">
                  <c:v>0.622696221501994</c:v>
                </c:pt>
                <c:pt idx="12">
                  <c:v>0.64381615500029321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5D-4297-A28A-5C7DAC606D28}"/>
            </c:ext>
          </c:extLst>
        </c:ser>
        <c:ser>
          <c:idx val="1"/>
          <c:order val="1"/>
          <c:tx>
            <c:strRef>
              <c:f>'further analysis'!$K$27</c:f>
              <c:strCache>
                <c:ptCount val="1"/>
                <c:pt idx="0">
                  <c:v>Predicted cos min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'further analysis'!$K$28:$K$40</c:f>
              <c:numCache>
                <c:formatCode>General</c:formatCode>
                <c:ptCount val="13"/>
                <c:pt idx="0">
                  <c:v>0.68331790910526391</c:v>
                </c:pt>
                <c:pt idx="1">
                  <c:v>0.66087953580292469</c:v>
                </c:pt>
                <c:pt idx="2">
                  <c:v>0.6841571219517022</c:v>
                </c:pt>
                <c:pt idx="3">
                  <c:v>0.70563664831652551</c:v>
                </c:pt>
                <c:pt idx="4">
                  <c:v>0.68111292738789619</c:v>
                </c:pt>
                <c:pt idx="5">
                  <c:v>0.63888034302679553</c:v>
                </c:pt>
                <c:pt idx="6">
                  <c:v>0.66612182247091278</c:v>
                </c:pt>
                <c:pt idx="7">
                  <c:v>0.65172847274508139</c:v>
                </c:pt>
                <c:pt idx="8">
                  <c:v>0.66390306152717393</c:v>
                </c:pt>
                <c:pt idx="9">
                  <c:v>0.65017657075646784</c:v>
                </c:pt>
                <c:pt idx="10">
                  <c:v>0.62212343691865468</c:v>
                </c:pt>
                <c:pt idx="11">
                  <c:v>0.64580105538766031</c:v>
                </c:pt>
                <c:pt idx="12">
                  <c:v>0.61477732325795109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5D-4297-A28A-5C7DAC606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26688"/>
        <c:axId val="641624720"/>
      </c:scatterChart>
      <c:valAx>
        <c:axId val="64162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624720"/>
        <c:crosses val="autoZero"/>
        <c:crossBetween val="midCat"/>
      </c:valAx>
      <c:valAx>
        <c:axId val="64162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62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153680</xdr:colOff>
      <xdr:row>23</xdr:row>
      <xdr:rowOff>126788</xdr:rowOff>
    </xdr:from>
    <xdr:to>
      <xdr:col>44</xdr:col>
      <xdr:colOff>70435</xdr:colOff>
      <xdr:row>59</xdr:row>
      <xdr:rowOff>1602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23CC7B5-732A-4997-B51D-109CEF0ACD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374597</xdr:colOff>
      <xdr:row>2</xdr:row>
      <xdr:rowOff>132388</xdr:rowOff>
    </xdr:from>
    <xdr:to>
      <xdr:col>44</xdr:col>
      <xdr:colOff>304959</xdr:colOff>
      <xdr:row>22</xdr:row>
      <xdr:rowOff>36018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57DC931-6B1A-4945-A2EF-37EBB45D65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449035</xdr:colOff>
      <xdr:row>19</xdr:row>
      <xdr:rowOff>70757</xdr:rowOff>
    </xdr:from>
    <xdr:to>
      <xdr:col>38</xdr:col>
      <xdr:colOff>367392</xdr:colOff>
      <xdr:row>56</xdr:row>
      <xdr:rowOff>95248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D7685E6-2B96-4E23-AEBE-78912C2CE3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0</xdr:colOff>
      <xdr:row>19</xdr:row>
      <xdr:rowOff>27214</xdr:rowOff>
    </xdr:from>
    <xdr:to>
      <xdr:col>35</xdr:col>
      <xdr:colOff>693964</xdr:colOff>
      <xdr:row>56</xdr:row>
      <xdr:rowOff>149677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07BA638-A6B8-42A7-918F-A4A87A407A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231321</xdr:colOff>
      <xdr:row>20</xdr:row>
      <xdr:rowOff>54428</xdr:rowOff>
    </xdr:from>
    <xdr:to>
      <xdr:col>33</xdr:col>
      <xdr:colOff>489857</xdr:colOff>
      <xdr:row>55</xdr:row>
      <xdr:rowOff>106135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0195C1B-EB52-404C-99CD-59A411B556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666749</xdr:colOff>
      <xdr:row>20</xdr:row>
      <xdr:rowOff>68035</xdr:rowOff>
    </xdr:from>
    <xdr:to>
      <xdr:col>29</xdr:col>
      <xdr:colOff>353783</xdr:colOff>
      <xdr:row>55</xdr:row>
      <xdr:rowOff>95249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D148477-0D1C-487C-8093-839260E42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503464</xdr:colOff>
      <xdr:row>57</xdr:row>
      <xdr:rowOff>13607</xdr:rowOff>
    </xdr:from>
    <xdr:to>
      <xdr:col>29</xdr:col>
      <xdr:colOff>190499</xdr:colOff>
      <xdr:row>94</xdr:row>
      <xdr:rowOff>24492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578AD21-266E-4A6F-A68E-C3A2C79BD3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465043</xdr:colOff>
      <xdr:row>1</xdr:row>
      <xdr:rowOff>62754</xdr:rowOff>
    </xdr:from>
    <xdr:to>
      <xdr:col>31</xdr:col>
      <xdr:colOff>196102</xdr:colOff>
      <xdr:row>18</xdr:row>
      <xdr:rowOff>138954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3C628F-AB1F-4E5A-8284-2CE6ABC915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112060</xdr:colOff>
      <xdr:row>19</xdr:row>
      <xdr:rowOff>44823</xdr:rowOff>
    </xdr:from>
    <xdr:to>
      <xdr:col>12</xdr:col>
      <xdr:colOff>487457</xdr:colOff>
      <xdr:row>53</xdr:row>
      <xdr:rowOff>112058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B2FF8B0-41C4-4877-80F4-B532521462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196102</xdr:colOff>
      <xdr:row>27</xdr:row>
      <xdr:rowOff>134471</xdr:rowOff>
    </xdr:from>
    <xdr:to>
      <xdr:col>32</xdr:col>
      <xdr:colOff>196102</xdr:colOff>
      <xdr:row>51</xdr:row>
      <xdr:rowOff>134470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A4E2DEC-874C-409F-905F-129BDCA891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554690</xdr:colOff>
      <xdr:row>27</xdr:row>
      <xdr:rowOff>44824</xdr:rowOff>
    </xdr:from>
    <xdr:to>
      <xdr:col>41</xdr:col>
      <xdr:colOff>240926</xdr:colOff>
      <xdr:row>51</xdr:row>
      <xdr:rowOff>89646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7C82FA7-C318-4377-B4F8-768E07D831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161925</xdr:colOff>
      <xdr:row>56</xdr:row>
      <xdr:rowOff>85725</xdr:rowOff>
    </xdr:from>
    <xdr:to>
      <xdr:col>25</xdr:col>
      <xdr:colOff>466725</xdr:colOff>
      <xdr:row>73</xdr:row>
      <xdr:rowOff>66675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E7EC1BB-73D8-496A-B015-2886D78F1A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528203</xdr:colOff>
      <xdr:row>107</xdr:row>
      <xdr:rowOff>65809</xdr:rowOff>
    </xdr:from>
    <xdr:to>
      <xdr:col>27</xdr:col>
      <xdr:colOff>251112</xdr:colOff>
      <xdr:row>124</xdr:row>
      <xdr:rowOff>90054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F3A9017-2DAC-4320-8ACF-083D00A336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352985</xdr:colOff>
      <xdr:row>57</xdr:row>
      <xdr:rowOff>17930</xdr:rowOff>
    </xdr:from>
    <xdr:to>
      <xdr:col>35</xdr:col>
      <xdr:colOff>84043</xdr:colOff>
      <xdr:row>74</xdr:row>
      <xdr:rowOff>82924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C719561-E53B-4E8A-8632-74F30287D9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581025</xdr:colOff>
      <xdr:row>62</xdr:row>
      <xdr:rowOff>47625</xdr:rowOff>
    </xdr:from>
    <xdr:to>
      <xdr:col>43</xdr:col>
      <xdr:colOff>542925</xdr:colOff>
      <xdr:row>79</xdr:row>
      <xdr:rowOff>38100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D951441-D82F-4FD6-82B6-C4D2F6347F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730783</xdr:colOff>
      <xdr:row>50</xdr:row>
      <xdr:rowOff>78441</xdr:rowOff>
    </xdr:from>
    <xdr:to>
      <xdr:col>22</xdr:col>
      <xdr:colOff>199085</xdr:colOff>
      <xdr:row>67</xdr:row>
      <xdr:rowOff>108391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44F237-8EB1-4208-869D-8B9FD363C3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630731</xdr:colOff>
      <xdr:row>7</xdr:row>
      <xdr:rowOff>23213</xdr:rowOff>
    </xdr:from>
    <xdr:to>
      <xdr:col>14</xdr:col>
      <xdr:colOff>707570</xdr:colOff>
      <xdr:row>46</xdr:row>
      <xdr:rowOff>27694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280289-B50C-498D-828D-8525E9B120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438150</xdr:colOff>
      <xdr:row>21</xdr:row>
      <xdr:rowOff>80962</xdr:rowOff>
    </xdr:from>
    <xdr:to>
      <xdr:col>24</xdr:col>
      <xdr:colOff>133350</xdr:colOff>
      <xdr:row>38</xdr:row>
      <xdr:rowOff>61912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F630F2-EEB8-4FDC-83CA-8979CB8875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AJ64" totalsRowShown="0" headerRowDxfId="114" dataDxfId="113">
  <autoFilter ref="A1:AJ64" xr:uid="{00000000-0009-0000-0100-000001000000}"/>
  <sortState ref="A2:AJ64">
    <sortCondition ref="A1:A64"/>
  </sortState>
  <tableColumns count="36">
    <tableColumn id="1" xr3:uid="{00000000-0010-0000-0000-000001000000}" name="finger"/>
    <tableColumn id="36" xr3:uid="{C9AFCA48-5D38-4124-A252-E6C7785CAE4F}" name="MF"/>
    <tableColumn id="2" xr3:uid="{00000000-0010-0000-0000-000002000000}" name="name" dataDxfId="112"/>
    <tableColumn id="3" xr3:uid="{00000000-0010-0000-0000-000003000000}" name="cj length" dataDxfId="111"/>
    <tableColumn id="4" xr3:uid="{00000000-0010-0000-0000-000004000000}" name="seg1" dataDxfId="110"/>
    <tableColumn id="5" xr3:uid="{00000000-0010-0000-0000-000005000000}" name="seg2" dataDxfId="109"/>
    <tableColumn id="6" xr3:uid="{00000000-0010-0000-0000-000006000000}" name="seg3" dataDxfId="108"/>
    <tableColumn id="7" xr3:uid="{00000000-0010-0000-0000-000007000000}" name="aw length" dataDxfId="107"/>
    <tableColumn id="8" xr3:uid="{00000000-0010-0000-0000-000008000000}" name="a" dataDxfId="106"/>
    <tableColumn id="9" xr3:uid="{00000000-0010-0000-0000-000009000000}" name="b" dataDxfId="105"/>
    <tableColumn id="10" xr3:uid="{00000000-0010-0000-0000-00000A000000}" name="gamma" dataDxfId="104"/>
    <tableColumn id="11" xr3:uid="{00000000-0010-0000-0000-00000B000000}" name="Column1" dataDxfId="103"/>
    <tableColumn id="12" xr3:uid="{00000000-0010-0000-0000-00000C000000}" name="diff" dataDxfId="102">
      <calculatedColumnFormula>ABS(D2-H2)</calculatedColumnFormula>
    </tableColumn>
    <tableColumn id="13" xr3:uid="{00000000-0010-0000-0000-00000D000000}" name="Column2" dataDxfId="101"/>
    <tableColumn id="14" xr3:uid="{00000000-0010-0000-0000-00000E000000}" name="name2" dataDxfId="100"/>
    <tableColumn id="15" xr3:uid="{00000000-0010-0000-0000-00000F000000}" name="min" dataDxfId="99"/>
    <tableColumn id="16" xr3:uid="{00000000-0010-0000-0000-000010000000}" name="max" dataDxfId="98"/>
    <tableColumn id="32" xr3:uid="{BE589854-459C-463A-81D3-B75F67B61335}" name="max-min" dataDxfId="97">
      <calculatedColumnFormula>Table1[[#This Row],[max]]-Table1[[#This Row],[min]]</calculatedColumnFormula>
    </tableColumn>
    <tableColumn id="29" xr3:uid="{382EDAD2-1463-4E0B-B92E-ADF9317AC912}" name="fingmax-max">
      <calculatedColumnFormula>VLOOKUP(Table1[[#This Row],[finger]],fingerMaxMin[],3)-Table1[[#This Row],[max]]</calculatedColumnFormula>
    </tableColumn>
    <tableColumn id="17" xr3:uid="{00000000-0010-0000-0000-000011000000}" name="scaled min" dataDxfId="96">
      <calculatedColumnFormula>P2/scale</calculatedColumnFormula>
    </tableColumn>
    <tableColumn id="18" xr3:uid="{00000000-0010-0000-0000-000012000000}" name="scaled max" dataDxfId="95">
      <calculatedColumnFormula>Q2/scale</calculatedColumnFormula>
    </tableColumn>
    <tableColumn id="19" xr3:uid="{00000000-0010-0000-0000-000013000000}" name="scaled (max-min)" dataDxfId="94">
      <calculatedColumnFormula>Table1[[#This Row],[scaled max]]-Table1[[#This Row],[scaled min]]</calculatedColumnFormula>
    </tableColumn>
    <tableColumn id="27" xr3:uid="{A275C767-26C8-4195-86A8-139D0110ED35}" name="scaled(fingmax-min)" dataDxfId="93">
      <calculatedColumnFormula>(VLOOKUP(Table1[[#This Row],[finger]],fingerMaxMin[],3)/scale)-T2</calculatedColumnFormula>
    </tableColumn>
    <tableColumn id="20" xr3:uid="{00000000-0010-0000-0000-000014000000}" name="sin min" dataDxfId="92">
      <calculatedColumnFormula>SIN(RADIANS(T2))</calculatedColumnFormula>
    </tableColumn>
    <tableColumn id="21" xr3:uid="{00000000-0010-0000-0000-000015000000}" name="sin max" dataDxfId="91">
      <calculatedColumnFormula>SIN(RADIANS(U2))</calculatedColumnFormula>
    </tableColumn>
    <tableColumn id="22" xr3:uid="{00000000-0010-0000-0000-000016000000}" name="Column6" dataDxfId="90"/>
    <tableColumn id="23" xr3:uid="{00000000-0010-0000-0000-000017000000}" name="cos min">
      <calculatedColumnFormula>COS(RADIANS(T2))</calculatedColumnFormula>
    </tableColumn>
    <tableColumn id="24" xr3:uid="{00000000-0010-0000-0000-000018000000}" name="cos max">
      <calculatedColumnFormula>COS(RADIANS(U2))</calculatedColumnFormula>
    </tableColumn>
    <tableColumn id="25" xr3:uid="{00000000-0010-0000-0000-000019000000}" name="Column8" dataDxfId="89"/>
    <tableColumn id="26" xr3:uid="{00000000-0010-0000-0000-00001A000000}" name="min/max ratio" dataDxfId="88">
      <calculatedColumnFormula>P2/Q2</calculatedColumnFormula>
    </tableColumn>
    <tableColumn id="33" xr3:uid="{09298FEF-417C-4373-B538-0E75254AC8C8}" name="Column4" dataDxfId="87"/>
    <tableColumn id="28" xr3:uid="{3D706352-D471-4831-8FA4-190022F14346}" name="Column3" dataDxfId="86"/>
    <tableColumn id="30" xr3:uid="{2723445F-837C-4547-8A70-C00E3849F3AD}" name="Smin" dataDxfId="85"/>
    <tableColumn id="31" xr3:uid="{0A119001-C6E6-4297-AB7A-D7462B07F324}" name="Smax" dataDxfId="84"/>
    <tableColumn id="34" xr3:uid="{98CED1AC-033A-40F4-A070-02C4805DFC88}" name="Smax-Smin" dataDxfId="83">
      <calculatedColumnFormula>Table1[[#This Row],[Smax]]-Table1[[#This Row],[Smin]]</calculatedColumnFormula>
    </tableColumn>
    <tableColumn id="35" xr3:uid="{20C0E5E0-821D-4EB1-9813-713435FC9D70}" name="Smax Smin avg" dataDxfId="82">
      <calculatedColumnFormula>AVERAGE(Table1[[#This Row],[Smin]:[Smax]])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7A6C82-90D5-4AB0-A2C3-AB4A012736EB}" name="Table111" displayName="Table111" ref="A1:AT18" totalsRowShown="0" headerRowDxfId="81" dataDxfId="80">
  <autoFilter ref="A1:AT18" xr:uid="{C455CD13-F683-402B-9726-0DDEBFA227AD}"/>
  <sortState ref="A2:AI65">
    <sortCondition ref="A1:A65"/>
  </sortState>
  <tableColumns count="46">
    <tableColumn id="1" xr3:uid="{26DB0653-E191-41D3-94D7-B7DCB6C84592}" name="finger"/>
    <tableColumn id="2" xr3:uid="{B184D0BB-7652-47FA-A87B-B4E67C8D42E6}" name="name " dataDxfId="79"/>
    <tableColumn id="3" xr3:uid="{3904EA7D-4587-4CDD-84AD-5F4A9A2F23CD}" name="cj length" dataDxfId="78"/>
    <tableColumn id="4" xr3:uid="{7569D927-2DF6-4C29-ABB6-97D102EBC583}" name="seg1" dataDxfId="77"/>
    <tableColumn id="5" xr3:uid="{90D1FF8B-0266-4531-9911-437FCF65EE2C}" name="seg2" dataDxfId="76"/>
    <tableColumn id="6" xr3:uid="{AB6D2F3D-5D28-4C9E-AD64-BBD619287196}" name="seg3" dataDxfId="75"/>
    <tableColumn id="7" xr3:uid="{115F7BD1-89D2-40FB-B8D0-2E27B1D6C4AE}" name="aw length" dataDxfId="74"/>
    <tableColumn id="8" xr3:uid="{2249CFD6-DFDF-4FFE-985B-0B0B5B1D205E}" name="a" dataDxfId="73"/>
    <tableColumn id="9" xr3:uid="{E99E13D7-0CF5-443D-B3CE-6B7331E5C1CF}" name="b" dataDxfId="72"/>
    <tableColumn id="10" xr3:uid="{2867C625-6806-418A-9A01-4451176B9EEF}" name="gamma" dataDxfId="71"/>
    <tableColumn id="11" xr3:uid="{31100723-4ACD-47DF-A60F-DBE51DFF088B}" name="Column1" dataDxfId="70"/>
    <tableColumn id="12" xr3:uid="{9FE98CB2-2555-4365-BFE4-D52E00FA92DE}" name="diff" dataDxfId="69">
      <calculatedColumnFormula>ABS(C2-G2)</calculatedColumnFormula>
    </tableColumn>
    <tableColumn id="13" xr3:uid="{E15E943F-98D2-4DAC-83B2-04A6713040C8}" name="Column2" dataDxfId="68"/>
    <tableColumn id="14" xr3:uid="{EDD46405-61BB-48BF-9484-C950952F562E}" name="name" dataDxfId="67"/>
    <tableColumn id="15" xr3:uid="{C8DEDC2E-4D77-407C-88AB-8362C314793D}" name="BENT  min" dataDxfId="66"/>
    <tableColumn id="16" xr3:uid="{B3FA6B34-D708-4372-B86C-FD177D4EB7F1}" name="max" dataDxfId="65"/>
    <tableColumn id="45" xr3:uid="{B4DB5304-F34B-4A4C-BA9B-D57480945F15}" name="max-min">
      <calculatedColumnFormula>Table111[[#This Row],[max]]-Table111[[#This Row],[BENT  min]]</calculatedColumnFormula>
    </tableColumn>
    <tableColumn id="29" xr3:uid="{FB958784-0D86-4D39-BB58-AC8607B46A9F}" name="fingmax-max">
      <calculatedColumnFormula>VLOOKUP(Table111[[#This Row],[finger]],fingerMaxMin[],3)-Table111[[#This Row],[max]]</calculatedColumnFormula>
    </tableColumn>
    <tableColumn id="17" xr3:uid="{DF850FF6-2CB5-4764-9CF4-E057F6AD0348}" name="scaled min" dataDxfId="64">
      <calculatedColumnFormula>O2/scale</calculatedColumnFormula>
    </tableColumn>
    <tableColumn id="18" xr3:uid="{D2B8C78E-26CC-4EA5-BA1B-B101103F638F}" name="scaled max" dataDxfId="63">
      <calculatedColumnFormula>P2/scale</calculatedColumnFormula>
    </tableColumn>
    <tableColumn id="19" xr3:uid="{EC96ADEC-754B-4040-92E5-7FDCEA893DB4}" name="scaled (max-min)" dataDxfId="62">
      <calculatedColumnFormula>Table111[[#This Row],[scaled max]]-Table111[[#This Row],[scaled min]]</calculatedColumnFormula>
    </tableColumn>
    <tableColumn id="27" xr3:uid="{43C12E96-2D26-4E7E-B984-975A0F01B936}" name="scaled(fingmax-min)" dataDxfId="61">
      <calculatedColumnFormula>(VLOOKUP(Table111[[#This Row],[finger]],fingerMaxMin[],3)/scale)-S2</calculatedColumnFormula>
    </tableColumn>
    <tableColumn id="20" xr3:uid="{C899CDF2-0B9E-4BB7-8C58-FF9FC54DE949}" name="sin min" dataDxfId="60">
      <calculatedColumnFormula>SIN(RADIANS(S2))</calculatedColumnFormula>
    </tableColumn>
    <tableColumn id="21" xr3:uid="{5AB49C78-4E9B-4B6D-A023-A9E8B5792FDD}" name="sin max" dataDxfId="59">
      <calculatedColumnFormula>SIN(RADIANS(T2))</calculatedColumnFormula>
    </tableColumn>
    <tableColumn id="22" xr3:uid="{67D0E64C-1B5F-418F-ADEF-8DE131E4FAE0}" name="Column6" dataDxfId="58"/>
    <tableColumn id="23" xr3:uid="{EDEB3FD0-A2B7-4E60-A635-CC587CD317E1}" name="cos min">
      <calculatedColumnFormula>COS(RADIANS(S2))</calculatedColumnFormula>
    </tableColumn>
    <tableColumn id="24" xr3:uid="{2AD21AAC-C161-4339-BB71-180EDB1DA66E}" name="cos max">
      <calculatedColumnFormula>COS(RADIANS(T2))</calculatedColumnFormula>
    </tableColumn>
    <tableColumn id="25" xr3:uid="{7114A77B-C0EE-4878-A537-F10D545DDF56}" name="Column8" dataDxfId="57"/>
    <tableColumn id="26" xr3:uid="{CC3116D4-937E-49F3-81CD-6ADF37E9B585}" name="min/max ratio" dataDxfId="56">
      <calculatedColumnFormula>O2/P2</calculatedColumnFormula>
    </tableColumn>
    <tableColumn id="33" xr3:uid="{94742591-CDD4-4288-B02D-629BD516ADE3}" name="Column4" dataDxfId="55"/>
    <tableColumn id="28" xr3:uid="{2669F955-0C7A-4AB1-A46F-0C91B1E52758}" name="Column3" dataDxfId="54"/>
    <tableColumn id="30" xr3:uid="{0D5FEBA7-46FF-499C-8AB9-6723855B385F}" name="Smin" dataDxfId="53"/>
    <tableColumn id="31" xr3:uid="{22C3C1F6-8441-4E5D-BE42-A9BE5015553E}" name="Smax" dataDxfId="52"/>
    <tableColumn id="34" xr3:uid="{66E03B21-D5E5-4BB1-A106-92BB50EC1329}" name="Smax-Smin" dataDxfId="51">
      <calculatedColumnFormula>Table111[[#This Row],[Smax]]-Table111[[#This Row],[Smin]]</calculatedColumnFormula>
    </tableColumn>
    <tableColumn id="35" xr3:uid="{2850A7B6-81E2-4C5C-ACCA-29B00776CA44}" name="Smax Smin avg" dataDxfId="50">
      <calculatedColumnFormula>AVERAGE(Table111[[#This Row],[Smin]:[Smax]])</calculatedColumnFormula>
    </tableColumn>
    <tableColumn id="32" xr3:uid="{D7005914-FAEF-4401-A3CF-9EA101F417FF}" name="Column7" dataDxfId="49"/>
    <tableColumn id="36" xr3:uid="{890ACCF8-61B5-470B-8796-EB658E5E7616}" name="Column5" dataDxfId="48"/>
    <tableColumn id="37" xr3:uid="{BAD1DBE9-84B4-4865-850C-D7614449F4CD}" name="Rmin" dataDxfId="47"/>
    <tableColumn id="38" xr3:uid="{EDDFFD61-2577-4AC4-9D19-3F6AFE8AF5EA}" name="Rmax" dataDxfId="46"/>
    <tableColumn id="39" xr3:uid="{2FD3917D-524C-4DF6-B484-B98C230FB730}" name="Rmax-Rmin" dataDxfId="45"/>
    <tableColumn id="40" xr3:uid="{046DFACA-4A65-45C3-99DE-AAEF8250C1A5}" name="Rmax Rmin mean" dataDxfId="44"/>
    <tableColumn id="41" xr3:uid="{50A97153-FC4C-408B-B962-961B2165C48E}" name="Column9" dataDxfId="43"/>
    <tableColumn id="42" xr3:uid="{8B9885D2-7A09-4522-86A8-962DB48D582F}" name="NEW Smin" dataDxfId="42"/>
    <tableColumn id="43" xr3:uid="{1351D57E-E17A-4882-BC0A-D87E571C53EE}" name="NEW Rmin" dataDxfId="41"/>
    <tableColumn id="44" xr3:uid="{64B93A1C-64BE-4C0D-82C3-9B2D9C22B5BF}" name="NEW Rmax" dataDxfId="40"/>
    <tableColumn id="46" xr3:uid="{2D6C62A9-A7AD-4C6B-9359-7A166AD7BC14}" name="NEW Rmax-Rmin" dataDxfId="39">
      <calculatedColumnFormula>IF(Table111[[#This Row],[NEW Rmax]]="","",Table111[[#This Row],[NEW Rmax]]-Table111[[#This Row],[NEW Rmin]])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FC8D703-A3D9-48BE-B742-4CA635E1A8BD}" name="corrTable" displayName="corrTable" ref="A1:J64" totalsRowShown="0" headerRowDxfId="38" dataDxfId="37">
  <autoFilter ref="A1:J64" xr:uid="{45DE4DAE-011B-4FED-802E-A5715540AACA}"/>
  <sortState ref="A2:J64">
    <sortCondition ref="G1:G64"/>
  </sortState>
  <tableColumns count="10">
    <tableColumn id="1" xr3:uid="{9B8B998B-8F83-4393-859C-FD0F67840B3F}" name="finger"/>
    <tableColumn id="2" xr3:uid="{55199061-95AF-4517-BABC-7C3073E09E88}" name="name " dataDxfId="36"/>
    <tableColumn id="3" xr3:uid="{49B4C63C-6C68-4365-A37C-F7902094517B}" name="cj length" dataDxfId="35"/>
    <tableColumn id="4" xr3:uid="{EED3299A-EF1F-451D-B805-1B636661DE3E}" name="seg1" dataDxfId="34"/>
    <tableColumn id="5" xr3:uid="{32A6DDB4-7EF5-4921-9BF4-51AD7D698B87}" name="seg2" dataDxfId="33"/>
    <tableColumn id="6" xr3:uid="{3EF999E2-869E-4521-B247-8EE70ADDEB94}" name="seg3" dataDxfId="32"/>
    <tableColumn id="7" xr3:uid="{D74149DF-7701-47E3-BF36-BE75A0317E5A}" name="aw length" dataDxfId="31"/>
    <tableColumn id="8" xr3:uid="{2BC04E0F-E180-47A9-BB73-DA45DA982DE2}" name="seg1rank" dataDxfId="30">
      <calculatedColumnFormula>_xlfn.RANK.AVG(corrTable[[#This Row],[seg1]],corrTable[seg1],1)</calculatedColumnFormula>
    </tableColumn>
    <tableColumn id="9" xr3:uid="{58549FAC-3544-4CF9-BA3C-3513FC026CA7}" name="seg2rank" dataDxfId="29">
      <calculatedColumnFormula>_xlfn.RANK.AVG(corrTable[[#This Row],[seg2]],corrTable[seg2],1)</calculatedColumnFormula>
    </tableColumn>
    <tableColumn id="10" xr3:uid="{C41E37E5-271E-427F-AE5A-FF838CF593DA}" name="seg3rank" dataDxfId="28">
      <calculatedColumnFormula>_xlfn.RANK.AVG(corrTable[[#This Row],[seg3]],corrTable[seg3],1)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945F91F-CD2F-4782-94C7-850069086F1B}" name="Table6" displayName="Table6" ref="A1:D69" totalsRowShown="0" headerRowDxfId="27">
  <autoFilter ref="A1:D69" xr:uid="{45D184E5-C0D5-4D67-A910-A9FD460CCF5C}"/>
  <tableColumns count="4">
    <tableColumn id="1" xr3:uid="{65AC59ED-AB89-4FCA-8CBA-90E083C9540C}" name="name"/>
    <tableColumn id="2" xr3:uid="{2C4F4AB0-2D0E-4FF6-8DBF-E02A256CD64D}" name="min"/>
    <tableColumn id="3" xr3:uid="{CF2370F7-58AC-43BF-AEB9-62C0228D9FCD}" name="max"/>
    <tableColumn id="4" xr3:uid="{5803D5B7-1E82-4785-AFC9-AB4B1AA581B8}" name="Column1" dataDxfId="2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CF43E9-E660-48D0-8B40-D020CEC2F363}" name="Table3" displayName="Table3" ref="A1:O64" totalsRowShown="0" headerRowDxfId="25" dataDxfId="23" headerRowBorderDxfId="24" tableBorderDxfId="22">
  <autoFilter ref="A1:O64" xr:uid="{0F1D04B1-2F47-4153-8398-DDBB2925CC38}"/>
  <sortState ref="A2:O64">
    <sortCondition descending="1" ref="K1:K64"/>
  </sortState>
  <tableColumns count="15">
    <tableColumn id="1" xr3:uid="{5EDCD256-85E2-43F7-8DE1-3B9522D5C919}" name="finger" dataDxfId="21"/>
    <tableColumn id="14" xr3:uid="{7FEAB9FB-1531-45F8-A08A-20FBB5497FC0}" name="name" dataDxfId="20"/>
    <tableColumn id="15" xr3:uid="{20F37E01-A4DB-4A31-9D89-F06C4C946FFB}" name="min" dataDxfId="19"/>
    <tableColumn id="2" xr3:uid="{B9A0C792-A69E-4CE6-86B8-C5F751E2C155}" name="scaled min" dataDxfId="18"/>
    <tableColumn id="3" xr3:uid="{D05B838C-21D0-48E8-B32C-A280E0E618DA}" name="sin min" dataDxfId="17"/>
    <tableColumn id="4" xr3:uid="{CDE1F9E5-8DDC-4FBE-B03E-F60A105DA33F}" name="cos min" dataDxfId="16"/>
    <tableColumn id="5" xr3:uid="{7E14D5D3-ADAB-4CF6-A71C-B36DC14EA62F}" name="ones" dataDxfId="15"/>
    <tableColumn id="6" xr3:uid="{A96A2241-7E27-4D95-AD32-64E820A268CB}" name="seg1" dataDxfId="14"/>
    <tableColumn id="7" xr3:uid="{E7A2F1E5-4AE6-44E9-B800-8203D4367262}" name="seg2" dataDxfId="13"/>
    <tableColumn id="8" xr3:uid="{B416C638-3A1C-4BB7-87BD-E46607D01401}" name="seg3" dataDxfId="12"/>
    <tableColumn id="9" xr3:uid="{E1B0D90B-C714-408B-A6E1-C52D846675B7}" name="aw length" dataDxfId="11"/>
    <tableColumn id="10" xr3:uid="{B10A9F34-8ACB-4ACD-A2E8-6A049C0FB6AA}" name="Column1" dataDxfId="10"/>
    <tableColumn id="11" xr3:uid="{755BC293-E14F-4110-9184-E25AC29D2969}" name="n1" dataDxfId="9">
      <calculatedColumnFormula>H2/$K2</calculatedColumnFormula>
    </tableColumn>
    <tableColumn id="12" xr3:uid="{F18192BF-7F47-46AF-8E42-0436AFCF1D44}" name="n2" dataDxfId="8">
      <calculatedColumnFormula>I2/$K2</calculatedColumnFormula>
    </tableColumn>
    <tableColumn id="13" xr3:uid="{16D8A5F4-72C1-4EC1-A58B-4090A02A0FEE}" name="n3" dataDxfId="7">
      <calculatedColumnFormula>J2/$K2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D8FC3BD-4FFB-4383-9954-9C3B574B8814}" name="Table5" displayName="Table5" ref="A1:N64" totalsRowShown="0" headerRowDxfId="6">
  <autoFilter ref="A1:N64" xr:uid="{A4E7FCD7-78D5-471F-8017-9C139D5D1522}"/>
  <sortState ref="A2:N68">
    <sortCondition ref="A1:A68"/>
  </sortState>
  <tableColumns count="14">
    <tableColumn id="1" xr3:uid="{ED38A147-5BCE-4BFC-9662-CC3B8CCB864D}" name="finger"/>
    <tableColumn id="2" xr3:uid="{32B92494-84ED-4CA8-A6BF-A24AE8CE98C6}" name="name " dataDxfId="5"/>
    <tableColumn id="3" xr3:uid="{D9234C79-2419-4D05-A781-FC74ED58FFC7}" name="cj length" dataDxfId="4"/>
    <tableColumn id="4" xr3:uid="{F2F9314F-A59C-4F72-B4D7-56A8828E556F}" name="seg1" dataDxfId="3"/>
    <tableColumn id="5" xr3:uid="{76C5C9EA-5F72-4423-8F59-C5AF153CF284}" name="seg2" dataDxfId="2"/>
    <tableColumn id="6" xr3:uid="{E45D1022-2C30-41C6-BDF6-F6679BF46A83}" name="seg3" dataDxfId="1"/>
    <tableColumn id="7" xr3:uid="{E4FE75F6-737D-4906-876E-04150A29FE2B}" name="aw length" dataDxfId="0"/>
    <tableColumn id="8" xr3:uid="{EDD48FEA-E2B2-4269-B1DE-B8312193C3E2}" name="scaled min"/>
    <tableColumn id="9" xr3:uid="{2EAFC137-B437-4EE1-84EB-7594D8F01365}" name="scaled max"/>
    <tableColumn id="10" xr3:uid="{A6950090-DB7C-4857-9C66-6D042E25A4D2}" name="scaled (max-min)"/>
    <tableColumn id="11" xr3:uid="{8EA11F1F-1916-4B05-8946-B6814AD4A442}" name="scaled(fingmax-min)"/>
    <tableColumn id="12" xr3:uid="{805AD305-4994-461C-AE0C-3744B293D8DF}" name="cos maxmin">
      <calculatedColumnFormula>COS(RADIANS(Table5[[#This Row],[scaled (max-min)]]))</calculatedColumnFormula>
    </tableColumn>
    <tableColumn id="13" xr3:uid="{D977C79A-8335-46A7-8D31-1E0DD490DD62}" name="cos fingmaxmin">
      <calculatedColumnFormula>COS(RADIANS(Table5[[#This Row],[scaled(fingmax-min)]]))</calculatedColumnFormula>
    </tableColumn>
    <tableColumn id="14" xr3:uid="{F396D8C9-3314-45C3-9A98-6C6EC911D81B}" name="sin(180-maxmin)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6DA5BC-FE41-4ABA-B605-636C3D1C7643}" name="fingerMaxMin" displayName="fingerMaxMin" ref="A1:C6" totalsRowShown="0">
  <autoFilter ref="A1:C6" xr:uid="{96DE345D-B14E-4603-A477-6AF404E2A325}"/>
  <tableColumns count="3">
    <tableColumn id="1" xr3:uid="{2A715230-0EF4-4673-A796-00E4648F8D65}" name="Finger"/>
    <tableColumn id="2" xr3:uid="{39F07F0A-5E68-4A33-B2A8-33F83023AEC8}" name="MinB"/>
    <tableColumn id="3" xr3:uid="{60E70C62-C948-47CB-B643-5E3D26EDF801}" name="MaxB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Q84"/>
  <sheetViews>
    <sheetView topLeftCell="O27" zoomScaleNormal="100" workbookViewId="0">
      <selection activeCell="P71" sqref="P71"/>
    </sheetView>
  </sheetViews>
  <sheetFormatPr defaultRowHeight="12.75"/>
  <cols>
    <col min="1" max="2" width="5.5703125" customWidth="1"/>
    <col min="3" max="7" width="11.5703125" style="1"/>
    <col min="8" max="8" width="12.42578125" style="1" customWidth="1"/>
    <col min="9" max="10" width="1.28515625" style="1" customWidth="1"/>
    <col min="11" max="11" width="1.140625" style="1" customWidth="1"/>
    <col min="12" max="12" width="2" style="1" customWidth="1"/>
    <col min="13" max="13" width="4" style="1" customWidth="1"/>
    <col min="14" max="15" width="11.5703125" style="1"/>
    <col min="16" max="17" width="11.7109375" style="1" bestFit="1" customWidth="1"/>
    <col min="18" max="18" width="11.140625" style="6" bestFit="1" customWidth="1"/>
    <col min="19" max="19" width="10.7109375" style="6" customWidth="1"/>
    <col min="20" max="21" width="10.42578125" style="1" customWidth="1"/>
    <col min="22" max="22" width="10.28515625" style="1" customWidth="1"/>
    <col min="23" max="23" width="10.7109375" style="6" customWidth="1"/>
    <col min="24" max="24" width="4.28515625" style="1" customWidth="1"/>
    <col min="25" max="25" width="4.42578125" style="1" customWidth="1"/>
    <col min="26" max="26" width="1.7109375" style="1" customWidth="1"/>
    <col min="27" max="27" width="4" style="1" customWidth="1"/>
    <col min="28" max="28" width="4.42578125" style="1" customWidth="1"/>
    <col min="29" max="29" width="1.7109375" style="1" customWidth="1"/>
    <col min="30" max="30" width="7" style="1" customWidth="1"/>
    <col min="31" max="31" width="7" style="6" customWidth="1"/>
    <col min="32" max="32" width="7.7109375" style="1" customWidth="1"/>
    <col min="33" max="36" width="11.7109375" style="1" bestFit="1" customWidth="1"/>
    <col min="37" max="1031" width="11.5703125" style="1"/>
  </cols>
  <sheetData>
    <row r="1" spans="1:1031" ht="25.5" customHeight="1">
      <c r="A1" s="29" t="s">
        <v>72</v>
      </c>
      <c r="B1" s="29" t="s">
        <v>163</v>
      </c>
      <c r="C1" s="29" t="s">
        <v>10</v>
      </c>
      <c r="D1" s="30" t="s">
        <v>2</v>
      </c>
      <c r="E1" s="31" t="s">
        <v>3</v>
      </c>
      <c r="F1" s="31" t="s">
        <v>4</v>
      </c>
      <c r="G1" s="31" t="s">
        <v>5</v>
      </c>
      <c r="H1" s="30" t="s">
        <v>6</v>
      </c>
      <c r="I1" s="29" t="s">
        <v>7</v>
      </c>
      <c r="J1" s="29" t="s">
        <v>8</v>
      </c>
      <c r="K1" s="29" t="s">
        <v>9</v>
      </c>
      <c r="L1" s="29" t="s">
        <v>73</v>
      </c>
      <c r="M1" s="29" t="s">
        <v>0</v>
      </c>
      <c r="N1" s="29" t="s">
        <v>74</v>
      </c>
      <c r="O1" s="29" t="s">
        <v>166</v>
      </c>
      <c r="P1" s="29" t="s">
        <v>11</v>
      </c>
      <c r="Q1" s="29" t="s">
        <v>12</v>
      </c>
      <c r="R1" s="29" t="s">
        <v>125</v>
      </c>
      <c r="S1" s="29" t="s">
        <v>126</v>
      </c>
      <c r="T1" s="29" t="s">
        <v>80</v>
      </c>
      <c r="U1" s="29" t="s">
        <v>81</v>
      </c>
      <c r="V1" s="29" t="s">
        <v>109</v>
      </c>
      <c r="W1" s="29" t="s">
        <v>110</v>
      </c>
      <c r="X1" s="29" t="s">
        <v>77</v>
      </c>
      <c r="Y1" s="29" t="s">
        <v>78</v>
      </c>
      <c r="Z1" s="29" t="s">
        <v>75</v>
      </c>
      <c r="AA1" s="29" t="s">
        <v>40</v>
      </c>
      <c r="AB1" s="29" t="s">
        <v>79</v>
      </c>
      <c r="AC1" s="29" t="s">
        <v>76</v>
      </c>
      <c r="AD1" s="29" t="s">
        <v>13</v>
      </c>
      <c r="AE1" s="29" t="s">
        <v>131</v>
      </c>
      <c r="AF1" s="29" t="s">
        <v>130</v>
      </c>
      <c r="AG1" s="29" t="s">
        <v>128</v>
      </c>
      <c r="AH1" s="29" t="s">
        <v>129</v>
      </c>
      <c r="AI1" s="29" t="s">
        <v>132</v>
      </c>
      <c r="AJ1" s="29" t="s">
        <v>133</v>
      </c>
    </row>
    <row r="2" spans="1:1031" ht="12.75" customHeight="1">
      <c r="A2">
        <v>2</v>
      </c>
      <c r="B2" t="s">
        <v>164</v>
      </c>
      <c r="C2" s="6" t="s">
        <v>24</v>
      </c>
      <c r="D2" s="16">
        <v>99.8</v>
      </c>
      <c r="E2" s="16">
        <v>37</v>
      </c>
      <c r="F2" s="16">
        <v>28</v>
      </c>
      <c r="G2" s="16">
        <v>32</v>
      </c>
      <c r="H2" s="16">
        <v>97</v>
      </c>
      <c r="I2" s="5">
        <v>1.1000000000000001</v>
      </c>
      <c r="J2" s="5">
        <v>0</v>
      </c>
      <c r="K2" s="5">
        <v>0.6</v>
      </c>
      <c r="M2" s="6">
        <f>ABS(D2-H2)</f>
        <v>2.7999999999999972</v>
      </c>
      <c r="O2" s="6" t="s">
        <v>25</v>
      </c>
      <c r="P2" s="4">
        <v>978.29</v>
      </c>
      <c r="Q2" s="4">
        <v>2953.11</v>
      </c>
      <c r="R2" s="4">
        <f>Table1[[#This Row],[max]]-Table1[[#This Row],[min]]</f>
        <v>1974.8200000000002</v>
      </c>
      <c r="S2" s="4">
        <f>VLOOKUP(Table1[[#This Row],[finger]],fingerMaxMin[],3)-Table1[[#This Row],[max]]</f>
        <v>121.88999999999987</v>
      </c>
      <c r="T2" s="7">
        <f>P2/scale</f>
        <v>52.658520831090534</v>
      </c>
      <c r="U2" s="7">
        <f>Q2/scale</f>
        <v>158.95736893099365</v>
      </c>
      <c r="V2" s="28">
        <f>Table1[[#This Row],[scaled max]]-Table1[[#This Row],[scaled min]]</f>
        <v>106.29884809990313</v>
      </c>
      <c r="W2" s="28">
        <f>(VLOOKUP(Table1[[#This Row],[finger]],fingerMaxMin[],3)/scale)-T2</f>
        <v>112.85983421250944</v>
      </c>
      <c r="X2" s="8">
        <f>SIN(RADIANS(T2))</f>
        <v>0.79503456830719754</v>
      </c>
      <c r="Y2" s="8">
        <f>SIN(RADIANS(U2))</f>
        <v>0.35906248314933736</v>
      </c>
      <c r="AA2">
        <f>COS(RADIANS(T2))</f>
        <v>0.60656412290588713</v>
      </c>
      <c r="AB2">
        <f>COS(RADIANS(U2))</f>
        <v>-0.93331352352498986</v>
      </c>
      <c r="AD2" s="1">
        <f>P2/Q2</f>
        <v>0.33127448689686462</v>
      </c>
      <c r="AF2" t="s">
        <v>25</v>
      </c>
      <c r="AG2">
        <v>1885.13</v>
      </c>
      <c r="AH2">
        <v>2441.6799999999998</v>
      </c>
      <c r="AI2" s="6">
        <f>Table1[[#This Row],[Smax]]-Table1[[#This Row],[Smin]]</f>
        <v>556.54999999999973</v>
      </c>
      <c r="AJ2" s="6">
        <f>AVERAGE(Table1[[#This Row],[Smin]:[Smax]])</f>
        <v>2163.4049999999997</v>
      </c>
    </row>
    <row r="3" spans="1:1031" ht="12.75" customHeight="1">
      <c r="A3">
        <v>2</v>
      </c>
      <c r="B3" t="s">
        <v>56</v>
      </c>
      <c r="C3" s="6" t="s">
        <v>22</v>
      </c>
      <c r="D3" s="15">
        <v>96.4</v>
      </c>
      <c r="E3" s="15">
        <v>37</v>
      </c>
      <c r="F3" s="15">
        <v>33</v>
      </c>
      <c r="G3" s="15">
        <v>29</v>
      </c>
      <c r="H3" s="15">
        <v>99</v>
      </c>
      <c r="I3" s="5">
        <v>1.1000000000000001</v>
      </c>
      <c r="J3" s="5">
        <v>0</v>
      </c>
      <c r="K3" s="5">
        <v>0.5</v>
      </c>
      <c r="M3" s="6">
        <f>ABS(D3-H3)</f>
        <v>2.5999999999999943</v>
      </c>
      <c r="O3" s="6" t="s">
        <v>23</v>
      </c>
      <c r="P3" s="4">
        <v>805.98</v>
      </c>
      <c r="Q3" s="4">
        <v>2834.17</v>
      </c>
      <c r="R3" s="4">
        <f>Table1[[#This Row],[max]]-Table1[[#This Row],[min]]</f>
        <v>2028.19</v>
      </c>
      <c r="S3" s="4">
        <f>VLOOKUP(Table1[[#This Row],[finger]],fingerMaxMin[],3)-Table1[[#This Row],[max]]</f>
        <v>240.82999999999993</v>
      </c>
      <c r="T3" s="7">
        <f>P3/scale</f>
        <v>43.383571966842503</v>
      </c>
      <c r="U3" s="7">
        <f>Q3/scale</f>
        <v>152.55517278501455</v>
      </c>
      <c r="V3" s="28">
        <f>Table1[[#This Row],[scaled max]]-Table1[[#This Row],[scaled min]]</f>
        <v>109.17160081817204</v>
      </c>
      <c r="W3" s="28">
        <f>(VLOOKUP(Table1[[#This Row],[finger]],fingerMaxMin[],3)/scale)-T3</f>
        <v>122.13478307675746</v>
      </c>
      <c r="X3" s="8">
        <f>SIN(RADIANS(T3))</f>
        <v>0.68687915670019517</v>
      </c>
      <c r="Y3" s="8">
        <f>SIN(RADIANS(U3))</f>
        <v>0.46089425508070908</v>
      </c>
      <c r="AA3">
        <f>COS(RADIANS(T3))</f>
        <v>0.72677164507899505</v>
      </c>
      <c r="AB3">
        <f>COS(RADIANS(U3))</f>
        <v>-0.88745506119104323</v>
      </c>
      <c r="AD3" s="1">
        <f>P3/Q3</f>
        <v>0.28437955380234775</v>
      </c>
      <c r="AF3" t="s">
        <v>23</v>
      </c>
      <c r="AG3">
        <v>1873</v>
      </c>
      <c r="AH3">
        <v>2066.15</v>
      </c>
      <c r="AI3" s="6">
        <f>Table1[[#This Row],[Smax]]-Table1[[#This Row],[Smin]]</f>
        <v>193.15000000000009</v>
      </c>
      <c r="AJ3" s="6">
        <f>AVERAGE(Table1[[#This Row],[Smin]:[Smax]])</f>
        <v>1969.575</v>
      </c>
    </row>
    <row r="4" spans="1:1031" ht="12.75" customHeight="1">
      <c r="A4">
        <v>2</v>
      </c>
      <c r="B4" t="s">
        <v>56</v>
      </c>
      <c r="C4" s="6" t="s">
        <v>34</v>
      </c>
      <c r="D4" s="4">
        <v>100</v>
      </c>
      <c r="E4" s="4">
        <v>36</v>
      </c>
      <c r="F4" s="4">
        <v>28</v>
      </c>
      <c r="G4" s="4">
        <v>37</v>
      </c>
      <c r="H4" s="4">
        <v>101</v>
      </c>
      <c r="I4" s="5">
        <v>1.1000000000000001</v>
      </c>
      <c r="J4" s="5">
        <v>0</v>
      </c>
      <c r="K4" s="5">
        <v>0.6</v>
      </c>
      <c r="M4" s="6">
        <f>ABS(D4-H4)</f>
        <v>1</v>
      </c>
      <c r="O4" s="6" t="s">
        <v>35</v>
      </c>
      <c r="P4" s="4">
        <v>958.59</v>
      </c>
      <c r="Q4" s="4">
        <v>2999.41</v>
      </c>
      <c r="R4" s="4">
        <f>Table1[[#This Row],[max]]-Table1[[#This Row],[min]]</f>
        <v>2040.8199999999997</v>
      </c>
      <c r="S4" s="4">
        <f>VLOOKUP(Table1[[#This Row],[finger]],fingerMaxMin[],3)-Table1[[#This Row],[max]]</f>
        <v>75.590000000000146</v>
      </c>
      <c r="T4" s="7">
        <f>P4/scale</f>
        <v>51.598126816664873</v>
      </c>
      <c r="U4" s="7">
        <f>Q4/scale</f>
        <v>161.44956400043063</v>
      </c>
      <c r="V4" s="28">
        <f>Table1[[#This Row],[scaled max]]-Table1[[#This Row],[scaled min]]</f>
        <v>109.85143718376575</v>
      </c>
      <c r="W4" s="28">
        <f>(VLOOKUP(Table1[[#This Row],[finger]],fingerMaxMin[],3)/scale)-T4</f>
        <v>113.92022822693509</v>
      </c>
      <c r="X4" s="8">
        <f>SIN(RADIANS(T4))</f>
        <v>0.78367314958804135</v>
      </c>
      <c r="Y4" s="8">
        <f>SIN(RADIANS(U4))</f>
        <v>0.31813931825849179</v>
      </c>
      <c r="AA4">
        <f>COS(RADIANS(T4))</f>
        <v>0.62117340140637012</v>
      </c>
      <c r="AB4">
        <f>COS(RADIANS(U4))</f>
        <v>-0.94804397270275498</v>
      </c>
      <c r="AD4" s="1">
        <f>P4/Q4</f>
        <v>0.3195928532611414</v>
      </c>
      <c r="AF4" t="s">
        <v>35</v>
      </c>
      <c r="AG4">
        <v>1877.99</v>
      </c>
      <c r="AH4">
        <v>1969.32</v>
      </c>
      <c r="AI4" s="6">
        <f>Table1[[#This Row],[Smax]]-Table1[[#This Row],[Smin]]</f>
        <v>91.329999999999927</v>
      </c>
      <c r="AJ4" s="6">
        <f>AVERAGE(Table1[[#This Row],[Smin]:[Smax]])</f>
        <v>1923.655</v>
      </c>
      <c r="AL4" s="6"/>
    </row>
    <row r="5" spans="1:1031" ht="12.75" customHeight="1">
      <c r="A5">
        <v>2</v>
      </c>
      <c r="B5" t="s">
        <v>164</v>
      </c>
      <c r="C5" s="6" t="s">
        <v>30</v>
      </c>
      <c r="D5" s="4">
        <v>101.2</v>
      </c>
      <c r="E5" s="4">
        <v>37</v>
      </c>
      <c r="F5" s="4">
        <v>32</v>
      </c>
      <c r="G5" s="4">
        <v>33</v>
      </c>
      <c r="H5" s="4">
        <v>102</v>
      </c>
      <c r="I5" s="5">
        <v>1.1000000000000001</v>
      </c>
      <c r="J5" s="5">
        <v>0</v>
      </c>
      <c r="K5" s="5">
        <v>0.6</v>
      </c>
      <c r="M5" s="6">
        <f>ABS(D5-H5)</f>
        <v>0.79999999999999716</v>
      </c>
      <c r="O5" s="6" t="s">
        <v>31</v>
      </c>
      <c r="P5" s="4">
        <v>869.38</v>
      </c>
      <c r="Q5" s="4">
        <v>2847.44</v>
      </c>
      <c r="R5" s="4">
        <f>Table1[[#This Row],[max]]-Table1[[#This Row],[min]]</f>
        <v>1978.06</v>
      </c>
      <c r="S5" s="4">
        <f>VLOOKUP(Table1[[#This Row],[finger]],fingerMaxMin[],3)-Table1[[#This Row],[max]]</f>
        <v>227.55999999999995</v>
      </c>
      <c r="T5" s="7">
        <f>P5/scale</f>
        <v>46.796210571643883</v>
      </c>
      <c r="U5" s="7">
        <f>Q5/scale</f>
        <v>153.26945849930024</v>
      </c>
      <c r="V5" s="28">
        <f>Table1[[#This Row],[scaled max]]-Table1[[#This Row],[scaled min]]</f>
        <v>106.47324792765636</v>
      </c>
      <c r="W5" s="28">
        <f>(VLOOKUP(Table1[[#This Row],[finger]],fingerMaxMin[],3)/scale)-T5</f>
        <v>118.72214447195608</v>
      </c>
      <c r="X5" s="8">
        <f>SIN(RADIANS(T5))</f>
        <v>0.72892335124952901</v>
      </c>
      <c r="Y5" s="8">
        <f>SIN(RADIANS(U5))</f>
        <v>0.44979514614951327</v>
      </c>
      <c r="AA5">
        <f>COS(RADIANS(T5))</f>
        <v>0.68459531695970266</v>
      </c>
      <c r="AB5">
        <f>COS(RADIANS(U5))</f>
        <v>-0.89313175203904716</v>
      </c>
      <c r="AD5" s="1">
        <f>P5/Q5</f>
        <v>0.30531986626583879</v>
      </c>
      <c r="AF5" t="s">
        <v>31</v>
      </c>
      <c r="AG5">
        <v>1879.89</v>
      </c>
      <c r="AH5">
        <v>2331.9299999999998</v>
      </c>
      <c r="AI5" s="6">
        <f>Table1[[#This Row],[Smax]]-Table1[[#This Row],[Smin]]</f>
        <v>452.03999999999974</v>
      </c>
      <c r="AJ5" s="6">
        <f>AVERAGE(Table1[[#This Row],[Smin]:[Smax]])</f>
        <v>2105.91</v>
      </c>
      <c r="AL5" s="6"/>
    </row>
    <row r="6" spans="1:1031" ht="12.75" customHeight="1">
      <c r="A6">
        <v>2</v>
      </c>
      <c r="B6" t="s">
        <v>56</v>
      </c>
      <c r="C6" s="6" t="s">
        <v>38</v>
      </c>
      <c r="D6" s="4">
        <v>104</v>
      </c>
      <c r="E6" s="4">
        <v>39</v>
      </c>
      <c r="F6" s="4">
        <v>26</v>
      </c>
      <c r="G6" s="4">
        <v>39</v>
      </c>
      <c r="H6" s="4">
        <v>104</v>
      </c>
      <c r="I6" s="5">
        <v>1.1000000000000001</v>
      </c>
      <c r="J6" s="5">
        <v>0</v>
      </c>
      <c r="K6" s="5">
        <v>0.5</v>
      </c>
      <c r="L6" s="6"/>
      <c r="M6" s="6">
        <f>ABS(D6-H6)</f>
        <v>0</v>
      </c>
      <c r="N6" s="6"/>
      <c r="O6" s="6" t="s">
        <v>39</v>
      </c>
      <c r="P6" s="4">
        <v>927.47</v>
      </c>
      <c r="Q6" s="4">
        <v>3076.63</v>
      </c>
      <c r="R6" s="4">
        <f>Table1[[#This Row],[max]]-Table1[[#This Row],[min]]</f>
        <v>2149.16</v>
      </c>
      <c r="S6" s="4">
        <f>VLOOKUP(Table1[[#This Row],[finger]],fingerMaxMin[],3)-Table1[[#This Row],[max]]</f>
        <v>-1.6300000000001091</v>
      </c>
      <c r="T6" s="7">
        <f>P6/scale</f>
        <v>49.923027236516312</v>
      </c>
      <c r="U6" s="7">
        <f>Q6/scale</f>
        <v>165.6060932285499</v>
      </c>
      <c r="V6" s="28">
        <f>Table1[[#This Row],[scaled max]]-Table1[[#This Row],[scaled min]]</f>
        <v>115.68306599203359</v>
      </c>
      <c r="W6" s="28">
        <f>(VLOOKUP(Table1[[#This Row],[finger]],fingerMaxMin[],3)/scale)-T6</f>
        <v>115.59532780708366</v>
      </c>
      <c r="X6" s="8">
        <f>SIN(RADIANS(T6))</f>
        <v>0.7651802131267107</v>
      </c>
      <c r="Y6" s="8">
        <f>SIN(RADIANS(U6))</f>
        <v>0.24858687994190765</v>
      </c>
      <c r="Z6" s="6"/>
      <c r="AA6">
        <f>COS(RADIANS(T6))</f>
        <v>0.64381615500029321</v>
      </c>
      <c r="AB6">
        <f>COS(RADIANS(U6))</f>
        <v>-0.96860960305003563</v>
      </c>
      <c r="AC6" s="6"/>
      <c r="AD6" s="6">
        <f>P6/Q6</f>
        <v>0.30145646372817009</v>
      </c>
      <c r="AF6" t="s">
        <v>39</v>
      </c>
      <c r="AG6">
        <v>1882.9</v>
      </c>
      <c r="AH6">
        <v>2195.4299999999998</v>
      </c>
      <c r="AI6" s="6">
        <f>Table1[[#This Row],[Smax]]-Table1[[#This Row],[Smin]]</f>
        <v>312.52999999999975</v>
      </c>
      <c r="AJ6" s="6">
        <f>AVERAGE(Table1[[#This Row],[Smin]:[Smax]])</f>
        <v>2039.165</v>
      </c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6"/>
      <c r="HJ6" s="6"/>
      <c r="HK6" s="6"/>
      <c r="HL6" s="6"/>
      <c r="HM6" s="6"/>
      <c r="HN6" s="6"/>
      <c r="HO6" s="6"/>
      <c r="HP6" s="6"/>
      <c r="HQ6" s="6"/>
      <c r="HR6" s="6"/>
      <c r="HS6" s="6"/>
      <c r="HT6" s="6"/>
      <c r="HU6" s="6"/>
      <c r="HV6" s="6"/>
      <c r="HW6" s="6"/>
      <c r="HX6" s="6"/>
      <c r="HY6" s="6"/>
      <c r="HZ6" s="6"/>
      <c r="IA6" s="6"/>
      <c r="IB6" s="6"/>
      <c r="IC6" s="6"/>
      <c r="ID6" s="6"/>
      <c r="IE6" s="6"/>
      <c r="IF6" s="6"/>
      <c r="IG6" s="6"/>
      <c r="IH6" s="6"/>
      <c r="II6" s="6"/>
      <c r="IJ6" s="6"/>
      <c r="IK6" s="6"/>
      <c r="IL6" s="6"/>
      <c r="IM6" s="6"/>
      <c r="IN6" s="6"/>
      <c r="IO6" s="6"/>
      <c r="IP6" s="6"/>
      <c r="IQ6" s="6"/>
      <c r="IR6" s="6"/>
      <c r="IS6" s="6"/>
      <c r="IT6" s="6"/>
      <c r="IU6" s="6"/>
      <c r="IV6" s="6"/>
      <c r="IW6" s="6"/>
      <c r="IX6" s="6"/>
      <c r="IY6" s="6"/>
      <c r="IZ6" s="6"/>
      <c r="JA6" s="6"/>
      <c r="JB6" s="6"/>
      <c r="JC6" s="6"/>
      <c r="JD6" s="6"/>
      <c r="JE6" s="6"/>
      <c r="JF6" s="6"/>
      <c r="JG6" s="6"/>
      <c r="JH6" s="6"/>
      <c r="JI6" s="6"/>
      <c r="JJ6" s="6"/>
      <c r="JK6" s="6"/>
      <c r="JL6" s="6"/>
      <c r="JM6" s="6"/>
      <c r="JN6" s="6"/>
      <c r="JO6" s="6"/>
      <c r="JP6" s="6"/>
      <c r="JQ6" s="6"/>
      <c r="JR6" s="6"/>
      <c r="JS6" s="6"/>
      <c r="JT6" s="6"/>
      <c r="JU6" s="6"/>
      <c r="JV6" s="6"/>
      <c r="JW6" s="6"/>
      <c r="JX6" s="6"/>
      <c r="JY6" s="6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6"/>
      <c r="KR6" s="6"/>
      <c r="KS6" s="6"/>
      <c r="KT6" s="6"/>
      <c r="KU6" s="6"/>
      <c r="KV6" s="6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6"/>
      <c r="LO6" s="6"/>
      <c r="LP6" s="6"/>
      <c r="LQ6" s="6"/>
      <c r="LR6" s="6"/>
      <c r="LS6" s="6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6"/>
      <c r="ML6" s="6"/>
      <c r="MM6" s="6"/>
      <c r="MN6" s="6"/>
      <c r="MO6" s="6"/>
      <c r="MP6" s="6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6"/>
      <c r="NI6" s="6"/>
      <c r="NJ6" s="6"/>
      <c r="NK6" s="6"/>
      <c r="NL6" s="6"/>
      <c r="NM6" s="6"/>
      <c r="NN6" s="6"/>
      <c r="NO6" s="6"/>
      <c r="NP6" s="6"/>
      <c r="NQ6" s="6"/>
      <c r="NR6" s="6"/>
      <c r="NS6" s="6"/>
      <c r="NT6" s="6"/>
      <c r="NU6" s="6"/>
      <c r="NV6" s="6"/>
      <c r="NW6" s="6"/>
      <c r="NX6" s="6"/>
      <c r="NY6" s="6"/>
      <c r="NZ6" s="6"/>
      <c r="OA6" s="6"/>
      <c r="OB6" s="6"/>
      <c r="OC6" s="6"/>
      <c r="OD6" s="6"/>
      <c r="OE6" s="6"/>
      <c r="OF6" s="6"/>
      <c r="OG6" s="6"/>
      <c r="OH6" s="6"/>
      <c r="OI6" s="6"/>
      <c r="OJ6" s="6"/>
      <c r="OK6" s="6"/>
      <c r="OL6" s="6"/>
      <c r="OM6" s="6"/>
      <c r="ON6" s="6"/>
      <c r="OO6" s="6"/>
      <c r="OP6" s="6"/>
      <c r="OQ6" s="6"/>
      <c r="OR6" s="6"/>
      <c r="OS6" s="6"/>
      <c r="OT6" s="6"/>
      <c r="OU6" s="6"/>
      <c r="OV6" s="6"/>
      <c r="OW6" s="6"/>
      <c r="OX6" s="6"/>
      <c r="OY6" s="6"/>
      <c r="OZ6" s="6"/>
      <c r="PA6" s="6"/>
      <c r="PB6" s="6"/>
      <c r="PC6" s="6"/>
      <c r="PD6" s="6"/>
      <c r="PE6" s="6"/>
      <c r="PF6" s="6"/>
      <c r="PG6" s="6"/>
      <c r="PH6" s="6"/>
      <c r="PI6" s="6"/>
      <c r="PJ6" s="6"/>
      <c r="PK6" s="6"/>
      <c r="PL6" s="6"/>
      <c r="PM6" s="6"/>
      <c r="PN6" s="6"/>
      <c r="PO6" s="6"/>
      <c r="PP6" s="6"/>
      <c r="PQ6" s="6"/>
      <c r="PR6" s="6"/>
      <c r="PS6" s="6"/>
      <c r="PT6" s="6"/>
      <c r="PU6" s="6"/>
      <c r="PV6" s="6"/>
      <c r="PW6" s="6"/>
      <c r="PX6" s="6"/>
      <c r="PY6" s="6"/>
      <c r="PZ6" s="6"/>
      <c r="QA6" s="6"/>
      <c r="QB6" s="6"/>
      <c r="QC6" s="6"/>
      <c r="QD6" s="6"/>
      <c r="QE6" s="6"/>
      <c r="QF6" s="6"/>
      <c r="QG6" s="6"/>
      <c r="QH6" s="6"/>
      <c r="QI6" s="6"/>
      <c r="QJ6" s="6"/>
      <c r="QK6" s="6"/>
      <c r="QL6" s="6"/>
      <c r="QM6" s="6"/>
      <c r="QN6" s="6"/>
      <c r="QO6" s="6"/>
      <c r="QP6" s="6"/>
      <c r="QQ6" s="6"/>
      <c r="QR6" s="6"/>
      <c r="QS6" s="6"/>
      <c r="QT6" s="6"/>
      <c r="QU6" s="6"/>
      <c r="QV6" s="6"/>
      <c r="QW6" s="6"/>
      <c r="QX6" s="6"/>
      <c r="QY6" s="6"/>
      <c r="QZ6" s="6"/>
      <c r="RA6" s="6"/>
      <c r="RB6" s="6"/>
      <c r="RC6" s="6"/>
      <c r="RD6" s="6"/>
      <c r="RE6" s="6"/>
      <c r="RF6" s="6"/>
      <c r="RG6" s="6"/>
      <c r="RH6" s="6"/>
      <c r="RI6" s="6"/>
      <c r="RJ6" s="6"/>
      <c r="RK6" s="6"/>
      <c r="RL6" s="6"/>
      <c r="RM6" s="6"/>
      <c r="RN6" s="6"/>
      <c r="RO6" s="6"/>
      <c r="RP6" s="6"/>
      <c r="RQ6" s="6"/>
      <c r="RR6" s="6"/>
      <c r="RS6" s="6"/>
      <c r="RT6" s="6"/>
      <c r="RU6" s="6"/>
      <c r="RV6" s="6"/>
      <c r="RW6" s="6"/>
      <c r="RX6" s="6"/>
      <c r="RY6" s="6"/>
      <c r="RZ6" s="6"/>
      <c r="SA6" s="6"/>
      <c r="SB6" s="6"/>
      <c r="SC6" s="6"/>
      <c r="SD6" s="6"/>
      <c r="SE6" s="6"/>
      <c r="SF6" s="6"/>
      <c r="SG6" s="6"/>
      <c r="SH6" s="6"/>
      <c r="SI6" s="6"/>
      <c r="SJ6" s="6"/>
      <c r="SK6" s="6"/>
      <c r="SL6" s="6"/>
      <c r="SM6" s="6"/>
      <c r="SN6" s="6"/>
      <c r="SO6" s="6"/>
      <c r="SP6" s="6"/>
      <c r="SQ6" s="6"/>
      <c r="SR6" s="6"/>
      <c r="SS6" s="6"/>
      <c r="ST6" s="6"/>
      <c r="SU6" s="6"/>
      <c r="SV6" s="6"/>
      <c r="SW6" s="6"/>
      <c r="SX6" s="6"/>
      <c r="SY6" s="6"/>
      <c r="SZ6" s="6"/>
      <c r="TA6" s="6"/>
      <c r="TB6" s="6"/>
      <c r="TC6" s="6"/>
      <c r="TD6" s="6"/>
      <c r="TE6" s="6"/>
      <c r="TF6" s="6"/>
      <c r="TG6" s="6"/>
      <c r="TH6" s="6"/>
      <c r="TI6" s="6"/>
      <c r="TJ6" s="6"/>
      <c r="TK6" s="6"/>
      <c r="TL6" s="6"/>
      <c r="TM6" s="6"/>
      <c r="TN6" s="6"/>
      <c r="TO6" s="6"/>
      <c r="TP6" s="6"/>
      <c r="TQ6" s="6"/>
      <c r="TR6" s="6"/>
      <c r="TS6" s="6"/>
      <c r="TT6" s="6"/>
      <c r="TU6" s="6"/>
      <c r="TV6" s="6"/>
      <c r="TW6" s="6"/>
      <c r="TX6" s="6"/>
      <c r="TY6" s="6"/>
      <c r="TZ6" s="6"/>
      <c r="UA6" s="6"/>
      <c r="UB6" s="6"/>
      <c r="UC6" s="6"/>
      <c r="UD6" s="6"/>
      <c r="UE6" s="6"/>
      <c r="UF6" s="6"/>
      <c r="UG6" s="6"/>
      <c r="UH6" s="6"/>
      <c r="UI6" s="6"/>
      <c r="UJ6" s="6"/>
      <c r="UK6" s="6"/>
      <c r="UL6" s="6"/>
      <c r="UM6" s="6"/>
      <c r="UN6" s="6"/>
      <c r="UO6" s="6"/>
      <c r="UP6" s="6"/>
      <c r="UQ6" s="6"/>
      <c r="UR6" s="6"/>
      <c r="US6" s="6"/>
      <c r="UT6" s="6"/>
      <c r="UU6" s="6"/>
      <c r="UV6" s="6"/>
      <c r="UW6" s="6"/>
      <c r="UX6" s="6"/>
      <c r="UY6" s="6"/>
      <c r="UZ6" s="6"/>
      <c r="VA6" s="6"/>
      <c r="VB6" s="6"/>
      <c r="VC6" s="6"/>
      <c r="VD6" s="6"/>
      <c r="VE6" s="6"/>
      <c r="VF6" s="6"/>
      <c r="VG6" s="6"/>
      <c r="VH6" s="6"/>
      <c r="VI6" s="6"/>
      <c r="VJ6" s="6"/>
      <c r="VK6" s="6"/>
      <c r="VL6" s="6"/>
      <c r="VM6" s="6"/>
      <c r="VN6" s="6"/>
      <c r="VO6" s="6"/>
      <c r="VP6" s="6"/>
      <c r="VQ6" s="6"/>
      <c r="VR6" s="6"/>
      <c r="VS6" s="6"/>
      <c r="VT6" s="6"/>
      <c r="VU6" s="6"/>
      <c r="VV6" s="6"/>
      <c r="VW6" s="6"/>
      <c r="VX6" s="6"/>
      <c r="VY6" s="6"/>
      <c r="VZ6" s="6"/>
      <c r="WA6" s="6"/>
      <c r="WB6" s="6"/>
      <c r="WC6" s="6"/>
      <c r="WD6" s="6"/>
      <c r="WE6" s="6"/>
      <c r="WF6" s="6"/>
      <c r="WG6" s="6"/>
      <c r="WH6" s="6"/>
      <c r="WI6" s="6"/>
      <c r="WJ6" s="6"/>
      <c r="WK6" s="6"/>
      <c r="WL6" s="6"/>
      <c r="WM6" s="6"/>
      <c r="WN6" s="6"/>
      <c r="WO6" s="6"/>
      <c r="WP6" s="6"/>
      <c r="WQ6" s="6"/>
      <c r="WR6" s="6"/>
      <c r="WS6" s="6"/>
      <c r="WT6" s="6"/>
      <c r="WU6" s="6"/>
      <c r="WV6" s="6"/>
      <c r="WW6" s="6"/>
      <c r="WX6" s="6"/>
      <c r="WY6" s="6"/>
      <c r="WZ6" s="6"/>
      <c r="XA6" s="6"/>
      <c r="XB6" s="6"/>
      <c r="XC6" s="6"/>
      <c r="XD6" s="6"/>
      <c r="XE6" s="6"/>
      <c r="XF6" s="6"/>
      <c r="XG6" s="6"/>
      <c r="XH6" s="6"/>
      <c r="XI6" s="6"/>
      <c r="XJ6" s="6"/>
      <c r="XK6" s="6"/>
      <c r="XL6" s="6"/>
      <c r="XM6" s="6"/>
      <c r="XN6" s="6"/>
      <c r="XO6" s="6"/>
      <c r="XP6" s="6"/>
      <c r="XQ6" s="6"/>
      <c r="XR6" s="6"/>
      <c r="XS6" s="6"/>
      <c r="XT6" s="6"/>
      <c r="XU6" s="6"/>
      <c r="XV6" s="6"/>
      <c r="XW6" s="6"/>
      <c r="XX6" s="6"/>
      <c r="XY6" s="6"/>
      <c r="XZ6" s="6"/>
      <c r="YA6" s="6"/>
      <c r="YB6" s="6"/>
      <c r="YC6" s="6"/>
      <c r="YD6" s="6"/>
      <c r="YE6" s="6"/>
      <c r="YF6" s="6"/>
      <c r="YG6" s="6"/>
      <c r="YH6" s="6"/>
      <c r="YI6" s="6"/>
      <c r="YJ6" s="6"/>
      <c r="YK6" s="6"/>
      <c r="YL6" s="6"/>
      <c r="YM6" s="6"/>
      <c r="YN6" s="6"/>
      <c r="YO6" s="6"/>
      <c r="YP6" s="6"/>
      <c r="YQ6" s="6"/>
      <c r="YR6" s="6"/>
      <c r="YS6" s="6"/>
      <c r="YT6" s="6"/>
      <c r="YU6" s="6"/>
      <c r="YV6" s="6"/>
      <c r="YW6" s="6"/>
      <c r="YX6" s="6"/>
      <c r="YY6" s="6"/>
      <c r="YZ6" s="6"/>
      <c r="ZA6" s="6"/>
      <c r="ZB6" s="6"/>
      <c r="ZC6" s="6"/>
      <c r="ZD6" s="6"/>
      <c r="ZE6" s="6"/>
      <c r="ZF6" s="6"/>
      <c r="ZG6" s="6"/>
      <c r="ZH6" s="6"/>
      <c r="ZI6" s="6"/>
      <c r="ZJ6" s="6"/>
      <c r="ZK6" s="6"/>
      <c r="ZL6" s="6"/>
      <c r="ZM6" s="6"/>
      <c r="ZN6" s="6"/>
      <c r="ZO6" s="6"/>
      <c r="ZP6" s="6"/>
      <c r="ZQ6" s="6"/>
      <c r="ZR6" s="6"/>
      <c r="ZS6" s="6"/>
      <c r="ZT6" s="6"/>
      <c r="ZU6" s="6"/>
      <c r="ZV6" s="6"/>
      <c r="ZW6" s="6"/>
      <c r="ZX6" s="6"/>
      <c r="ZY6" s="6"/>
      <c r="ZZ6" s="6"/>
      <c r="AAA6" s="6"/>
      <c r="AAB6" s="6"/>
      <c r="AAC6" s="6"/>
      <c r="AAD6" s="6"/>
      <c r="AAE6" s="6"/>
      <c r="AAF6" s="6"/>
      <c r="AAG6" s="6"/>
      <c r="AAH6" s="6"/>
      <c r="AAI6" s="6"/>
      <c r="AAJ6" s="6"/>
      <c r="AAK6" s="6"/>
      <c r="AAL6" s="6"/>
      <c r="AAM6" s="6"/>
      <c r="AAN6" s="6"/>
      <c r="AAO6" s="6"/>
      <c r="AAP6" s="6"/>
      <c r="AAQ6" s="6"/>
      <c r="AAR6" s="6"/>
      <c r="AAS6" s="6"/>
      <c r="AAT6" s="6"/>
      <c r="AAU6" s="6"/>
      <c r="AAV6" s="6"/>
      <c r="AAW6" s="6"/>
      <c r="AAX6" s="6"/>
      <c r="AAY6" s="6"/>
      <c r="AAZ6" s="6"/>
      <c r="ABA6" s="6"/>
      <c r="ABB6" s="6"/>
      <c r="ABC6" s="6"/>
      <c r="ABD6" s="6"/>
      <c r="ABE6" s="6"/>
      <c r="ABF6" s="6"/>
      <c r="ABG6" s="6"/>
      <c r="ABH6" s="6"/>
      <c r="ABI6" s="6"/>
      <c r="ABJ6" s="6"/>
      <c r="ABK6" s="6"/>
      <c r="ABL6" s="6"/>
      <c r="ABM6" s="6"/>
      <c r="ABN6" s="6"/>
      <c r="ABO6" s="6"/>
      <c r="ABP6" s="6"/>
      <c r="ABQ6" s="6"/>
      <c r="ABR6" s="6"/>
      <c r="ABS6" s="6"/>
      <c r="ABT6" s="6"/>
      <c r="ABU6" s="6"/>
      <c r="ABV6" s="6"/>
      <c r="ABW6" s="6"/>
      <c r="ABX6" s="6"/>
      <c r="ABY6" s="6"/>
      <c r="ABZ6" s="6"/>
      <c r="ACA6" s="6"/>
      <c r="ACB6" s="6"/>
      <c r="ACC6" s="6"/>
      <c r="ACD6" s="6"/>
      <c r="ACE6" s="6"/>
      <c r="ACF6" s="6"/>
      <c r="ACG6" s="6"/>
      <c r="ACH6" s="6"/>
      <c r="ACI6" s="6"/>
      <c r="ACJ6" s="6"/>
      <c r="ACK6" s="6"/>
      <c r="ACL6" s="6"/>
      <c r="ACM6" s="6"/>
      <c r="ACN6" s="6"/>
      <c r="ACO6" s="6"/>
      <c r="ACP6" s="6"/>
      <c r="ACQ6" s="6"/>
      <c r="ACR6" s="6"/>
      <c r="ACS6" s="6"/>
      <c r="ACT6" s="6"/>
      <c r="ACU6" s="6"/>
      <c r="ACV6" s="6"/>
      <c r="ACW6" s="6"/>
      <c r="ACX6" s="6"/>
      <c r="ACY6" s="6"/>
      <c r="ACZ6" s="6"/>
      <c r="ADA6" s="6"/>
      <c r="ADB6" s="6"/>
      <c r="ADC6" s="6"/>
      <c r="ADD6" s="6"/>
      <c r="ADE6" s="6"/>
      <c r="ADF6" s="6"/>
      <c r="ADG6" s="6"/>
      <c r="ADH6" s="6"/>
      <c r="ADI6" s="6"/>
      <c r="ADJ6" s="6"/>
      <c r="ADK6" s="6"/>
      <c r="ADL6" s="6"/>
      <c r="ADM6" s="6"/>
      <c r="ADN6" s="6"/>
      <c r="ADO6" s="6"/>
      <c r="ADP6" s="6"/>
      <c r="ADQ6" s="6"/>
      <c r="ADR6" s="6"/>
      <c r="ADS6" s="6"/>
      <c r="ADT6" s="6"/>
      <c r="ADU6" s="6"/>
      <c r="ADV6" s="6"/>
      <c r="ADW6" s="6"/>
      <c r="ADX6" s="6"/>
      <c r="ADY6" s="6"/>
      <c r="ADZ6" s="6"/>
      <c r="AEA6" s="6"/>
      <c r="AEB6" s="6"/>
      <c r="AEC6" s="6"/>
      <c r="AED6" s="6"/>
      <c r="AEE6" s="6"/>
      <c r="AEF6" s="6"/>
      <c r="AEG6" s="6"/>
      <c r="AEH6" s="6"/>
      <c r="AEI6" s="6"/>
      <c r="AEJ6" s="6"/>
      <c r="AEK6" s="6"/>
      <c r="AEL6" s="6"/>
      <c r="AEM6" s="6"/>
      <c r="AEN6" s="6"/>
      <c r="AEO6" s="6"/>
      <c r="AEP6" s="6"/>
      <c r="AEQ6" s="6"/>
      <c r="AER6" s="6"/>
      <c r="AES6" s="6"/>
      <c r="AET6" s="6"/>
      <c r="AEU6" s="6"/>
      <c r="AEV6" s="6"/>
      <c r="AEW6" s="6"/>
      <c r="AEX6" s="6"/>
      <c r="AEY6" s="6"/>
      <c r="AEZ6" s="6"/>
      <c r="AFA6" s="6"/>
      <c r="AFB6" s="6"/>
      <c r="AFC6" s="6"/>
      <c r="AFD6" s="6"/>
      <c r="AFE6" s="6"/>
      <c r="AFF6" s="6"/>
      <c r="AFG6" s="6"/>
      <c r="AFH6" s="6"/>
      <c r="AFI6" s="6"/>
      <c r="AFJ6" s="6"/>
      <c r="AFK6" s="6"/>
      <c r="AFL6" s="6"/>
      <c r="AFM6" s="6"/>
      <c r="AFN6" s="6"/>
      <c r="AFO6" s="6"/>
      <c r="AFP6" s="6"/>
      <c r="AFQ6" s="6"/>
      <c r="AFR6" s="6"/>
      <c r="AFS6" s="6"/>
      <c r="AFT6" s="6"/>
      <c r="AFU6" s="6"/>
      <c r="AFV6" s="6"/>
      <c r="AFW6" s="6"/>
      <c r="AFX6" s="6"/>
      <c r="AFY6" s="6"/>
      <c r="AFZ6" s="6"/>
      <c r="AGA6" s="6"/>
      <c r="AGB6" s="6"/>
      <c r="AGC6" s="6"/>
      <c r="AGD6" s="6"/>
      <c r="AGE6" s="6"/>
      <c r="AGF6" s="6"/>
      <c r="AGG6" s="6"/>
      <c r="AGH6" s="6"/>
      <c r="AGI6" s="6"/>
      <c r="AGJ6" s="6"/>
      <c r="AGK6" s="6"/>
      <c r="AGL6" s="6"/>
      <c r="AGM6" s="6"/>
      <c r="AGN6" s="6"/>
      <c r="AGO6" s="6"/>
      <c r="AGP6" s="6"/>
      <c r="AGQ6" s="6"/>
      <c r="AGR6" s="6"/>
      <c r="AGS6" s="6"/>
      <c r="AGT6" s="6"/>
      <c r="AGU6" s="6"/>
      <c r="AGV6" s="6"/>
      <c r="AGW6" s="6"/>
      <c r="AGX6" s="6"/>
      <c r="AGY6" s="6"/>
      <c r="AGZ6" s="6"/>
      <c r="AHA6" s="6"/>
      <c r="AHB6" s="6"/>
      <c r="AHC6" s="6"/>
      <c r="AHD6" s="6"/>
      <c r="AHE6" s="6"/>
      <c r="AHF6" s="6"/>
      <c r="AHG6" s="6"/>
      <c r="AHH6" s="6"/>
      <c r="AHI6" s="6"/>
      <c r="AHJ6" s="6"/>
      <c r="AHK6" s="6"/>
      <c r="AHL6" s="6"/>
      <c r="AHM6" s="6"/>
      <c r="AHN6" s="6"/>
      <c r="AHO6" s="6"/>
      <c r="AHP6" s="6"/>
      <c r="AHQ6" s="6"/>
      <c r="AHR6" s="6"/>
      <c r="AHS6" s="6"/>
      <c r="AHT6" s="6"/>
      <c r="AHU6" s="6"/>
      <c r="AHV6" s="6"/>
      <c r="AHW6" s="6"/>
      <c r="AHX6" s="6"/>
      <c r="AHY6" s="6"/>
      <c r="AHZ6" s="6"/>
      <c r="AIA6" s="6"/>
      <c r="AIB6" s="6"/>
      <c r="AIC6" s="6"/>
      <c r="AID6" s="6"/>
      <c r="AIE6" s="6"/>
      <c r="AIF6" s="6"/>
      <c r="AIG6" s="6"/>
      <c r="AIH6" s="6"/>
      <c r="AII6" s="6"/>
      <c r="AIJ6" s="6"/>
      <c r="AIK6" s="6"/>
      <c r="AIL6" s="6"/>
      <c r="AIM6" s="6"/>
      <c r="AIN6" s="6"/>
      <c r="AIO6" s="6"/>
      <c r="AIP6" s="6"/>
      <c r="AIQ6" s="6"/>
      <c r="AIR6" s="6"/>
      <c r="AIS6" s="6"/>
      <c r="AIT6" s="6"/>
      <c r="AIU6" s="6"/>
      <c r="AIV6" s="6"/>
      <c r="AIW6" s="6"/>
      <c r="AIX6" s="6"/>
      <c r="AIY6" s="6"/>
      <c r="AIZ6" s="6"/>
      <c r="AJA6" s="6"/>
      <c r="AJB6" s="6"/>
      <c r="AJC6" s="6"/>
      <c r="AJD6" s="6"/>
      <c r="AJE6" s="6"/>
      <c r="AJF6" s="6"/>
      <c r="AJG6" s="6"/>
      <c r="AJH6" s="6"/>
      <c r="AJI6" s="6"/>
      <c r="AJJ6" s="6"/>
      <c r="AJK6" s="6"/>
      <c r="AJL6" s="6"/>
      <c r="AJM6" s="6"/>
      <c r="AJN6" s="6"/>
      <c r="AJO6" s="6"/>
      <c r="AJP6" s="6"/>
      <c r="AJQ6" s="6"/>
      <c r="AJR6" s="6"/>
      <c r="AJS6" s="6"/>
      <c r="AJT6" s="6"/>
      <c r="AJU6" s="6"/>
      <c r="AJV6" s="6"/>
      <c r="AJW6" s="6"/>
      <c r="AJX6" s="6"/>
      <c r="AJY6" s="6"/>
      <c r="AJZ6" s="6"/>
      <c r="AKA6" s="6"/>
      <c r="AKB6" s="6"/>
      <c r="AKC6" s="6"/>
      <c r="AKD6" s="6"/>
      <c r="AKE6" s="6"/>
      <c r="AKF6" s="6"/>
      <c r="AKG6" s="6"/>
      <c r="AKH6" s="6"/>
      <c r="AKI6" s="6"/>
      <c r="AKJ6" s="6"/>
      <c r="AKK6" s="6"/>
      <c r="AKL6" s="6"/>
      <c r="AKM6" s="6"/>
      <c r="AKN6" s="6"/>
      <c r="AKO6" s="6"/>
      <c r="AKP6" s="6"/>
      <c r="AKQ6" s="6"/>
      <c r="AKR6" s="6"/>
      <c r="AKS6" s="6"/>
      <c r="AKT6" s="6"/>
      <c r="AKU6" s="6"/>
      <c r="AKV6" s="6"/>
      <c r="AKW6" s="6"/>
      <c r="AKX6" s="6"/>
      <c r="AKY6" s="6"/>
      <c r="AKZ6" s="6"/>
      <c r="ALA6" s="6"/>
      <c r="ALB6" s="6"/>
      <c r="ALC6" s="6"/>
      <c r="ALD6" s="6"/>
      <c r="ALE6" s="6"/>
      <c r="ALF6" s="6"/>
      <c r="ALG6" s="6"/>
      <c r="ALH6" s="6"/>
      <c r="ALI6" s="6"/>
      <c r="ALJ6" s="6"/>
      <c r="ALK6" s="6"/>
      <c r="ALL6" s="6"/>
      <c r="ALM6" s="6"/>
      <c r="ALN6" s="6"/>
      <c r="ALO6" s="6"/>
      <c r="ALP6" s="6"/>
      <c r="ALQ6" s="6"/>
      <c r="ALR6" s="6"/>
      <c r="ALS6" s="6"/>
      <c r="ALT6" s="6"/>
      <c r="ALU6" s="6"/>
      <c r="ALV6" s="6"/>
      <c r="ALW6" s="6"/>
      <c r="ALX6" s="6"/>
      <c r="ALY6" s="6"/>
      <c r="ALZ6" s="6"/>
      <c r="AMA6" s="6"/>
      <c r="AMB6" s="6"/>
      <c r="AMC6" s="6"/>
      <c r="AMD6" s="6"/>
      <c r="AME6" s="6"/>
      <c r="AMF6" s="6"/>
      <c r="AMG6" s="6"/>
      <c r="AMH6" s="6"/>
      <c r="AMI6" s="6"/>
      <c r="AMJ6" s="6"/>
      <c r="AMK6" s="6"/>
      <c r="AML6" s="6"/>
      <c r="AMM6" s="6"/>
      <c r="AMN6" s="6"/>
      <c r="AMO6" s="6"/>
      <c r="AMP6" s="6"/>
      <c r="AMQ6" s="6"/>
    </row>
    <row r="7" spans="1:1031" ht="12.75" customHeight="1">
      <c r="A7">
        <v>2</v>
      </c>
      <c r="B7" t="s">
        <v>56</v>
      </c>
      <c r="C7" s="6" t="s">
        <v>32</v>
      </c>
      <c r="D7" s="4">
        <v>104.1</v>
      </c>
      <c r="E7" s="4">
        <v>35</v>
      </c>
      <c r="F7" s="4">
        <v>33</v>
      </c>
      <c r="G7" s="4">
        <v>38</v>
      </c>
      <c r="H7" s="4">
        <v>106</v>
      </c>
      <c r="I7" s="5">
        <v>1.1000000000000001</v>
      </c>
      <c r="J7" s="5">
        <v>0</v>
      </c>
      <c r="K7" s="5">
        <v>0.5</v>
      </c>
      <c r="L7" s="6"/>
      <c r="M7" s="6">
        <f>ABS(D7-H7)</f>
        <v>1.9000000000000057</v>
      </c>
      <c r="N7" s="6"/>
      <c r="O7" s="6" t="s">
        <v>33</v>
      </c>
      <c r="P7" s="4">
        <v>1079.4000000000001</v>
      </c>
      <c r="Q7" s="4">
        <v>2966.99</v>
      </c>
      <c r="R7" s="4">
        <f>Table1[[#This Row],[max]]-Table1[[#This Row],[min]]</f>
        <v>1887.5899999999997</v>
      </c>
      <c r="S7" s="4">
        <f>VLOOKUP(Table1[[#This Row],[finger]],fingerMaxMin[],3)-Table1[[#This Row],[max]]</f>
        <v>108.01000000000022</v>
      </c>
      <c r="T7" s="7">
        <f>P7/scale</f>
        <v>58.100979653353434</v>
      </c>
      <c r="U7" s="7">
        <f>Q7/scale</f>
        <v>159.70448918075141</v>
      </c>
      <c r="V7" s="28">
        <f>Table1[[#This Row],[scaled max]]-Table1[[#This Row],[scaled min]]</f>
        <v>101.60350952739797</v>
      </c>
      <c r="W7" s="28">
        <f>(VLOOKUP(Table1[[#This Row],[finger]],fingerMaxMin[],3)/scale)-T7</f>
        <v>107.41737539024653</v>
      </c>
      <c r="X7" s="8">
        <f>SIN(RADIANS(T7))</f>
        <v>0.84898072283698423</v>
      </c>
      <c r="Y7" s="8">
        <f>SIN(RADIANS(U7))</f>
        <v>0.34686216598674618</v>
      </c>
      <c r="Z7" s="6"/>
      <c r="AA7">
        <f>COS(RADIANS(T7))</f>
        <v>0.5284238187773066</v>
      </c>
      <c r="AB7">
        <f>COS(RADIANS(U7))</f>
        <v>-0.93791611448305057</v>
      </c>
      <c r="AC7" s="6"/>
      <c r="AD7" s="6">
        <f>P7/Q7</f>
        <v>0.3638030461848541</v>
      </c>
      <c r="AF7" t="s">
        <v>33</v>
      </c>
      <c r="AG7">
        <v>1884.43</v>
      </c>
      <c r="AH7">
        <v>2150.9</v>
      </c>
      <c r="AI7" s="6">
        <f>Table1[[#This Row],[Smax]]-Table1[[#This Row],[Smin]]</f>
        <v>266.47000000000003</v>
      </c>
      <c r="AJ7" s="6">
        <f>AVERAGE(Table1[[#This Row],[Smin]:[Smax]])</f>
        <v>2017.665</v>
      </c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  <c r="IW7" s="6"/>
      <c r="IX7" s="6"/>
      <c r="IY7" s="6"/>
      <c r="IZ7" s="6"/>
      <c r="JA7" s="6"/>
      <c r="JB7" s="6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6"/>
      <c r="NJ7" s="6"/>
      <c r="NK7" s="6"/>
      <c r="NL7" s="6"/>
      <c r="NM7" s="6"/>
      <c r="NN7" s="6"/>
      <c r="NO7" s="6"/>
      <c r="NP7" s="6"/>
      <c r="NQ7" s="6"/>
      <c r="NR7" s="6"/>
      <c r="NS7" s="6"/>
      <c r="NT7" s="6"/>
      <c r="NU7" s="6"/>
      <c r="NV7" s="6"/>
      <c r="NW7" s="6"/>
      <c r="NX7" s="6"/>
      <c r="NY7" s="6"/>
      <c r="NZ7" s="6"/>
      <c r="OA7" s="6"/>
      <c r="OB7" s="6"/>
      <c r="OC7" s="6"/>
      <c r="OD7" s="6"/>
      <c r="OE7" s="6"/>
      <c r="OF7" s="6"/>
      <c r="OG7" s="6"/>
      <c r="OH7" s="6"/>
      <c r="OI7" s="6"/>
      <c r="OJ7" s="6"/>
      <c r="OK7" s="6"/>
      <c r="OL7" s="6"/>
      <c r="OM7" s="6"/>
      <c r="ON7" s="6"/>
      <c r="OO7" s="6"/>
      <c r="OP7" s="6"/>
      <c r="OQ7" s="6"/>
      <c r="OR7" s="6"/>
      <c r="OS7" s="6"/>
      <c r="OT7" s="6"/>
      <c r="OU7" s="6"/>
      <c r="OV7" s="6"/>
      <c r="OW7" s="6"/>
      <c r="OX7" s="6"/>
      <c r="OY7" s="6"/>
      <c r="OZ7" s="6"/>
      <c r="PA7" s="6"/>
      <c r="PB7" s="6"/>
      <c r="PC7" s="6"/>
      <c r="PD7" s="6"/>
      <c r="PE7" s="6"/>
      <c r="PF7" s="6"/>
      <c r="PG7" s="6"/>
      <c r="PH7" s="6"/>
      <c r="PI7" s="6"/>
      <c r="PJ7" s="6"/>
      <c r="PK7" s="6"/>
      <c r="PL7" s="6"/>
      <c r="PM7" s="6"/>
      <c r="PN7" s="6"/>
      <c r="PO7" s="6"/>
      <c r="PP7" s="6"/>
      <c r="PQ7" s="6"/>
      <c r="PR7" s="6"/>
      <c r="PS7" s="6"/>
      <c r="PT7" s="6"/>
      <c r="PU7" s="6"/>
      <c r="PV7" s="6"/>
      <c r="PW7" s="6"/>
      <c r="PX7" s="6"/>
      <c r="PY7" s="6"/>
      <c r="PZ7" s="6"/>
      <c r="QA7" s="6"/>
      <c r="QB7" s="6"/>
      <c r="QC7" s="6"/>
      <c r="QD7" s="6"/>
      <c r="QE7" s="6"/>
      <c r="QF7" s="6"/>
      <c r="QG7" s="6"/>
      <c r="QH7" s="6"/>
      <c r="QI7" s="6"/>
      <c r="QJ7" s="6"/>
      <c r="QK7" s="6"/>
      <c r="QL7" s="6"/>
      <c r="QM7" s="6"/>
      <c r="QN7" s="6"/>
      <c r="QO7" s="6"/>
      <c r="QP7" s="6"/>
      <c r="QQ7" s="6"/>
      <c r="QR7" s="6"/>
      <c r="QS7" s="6"/>
      <c r="QT7" s="6"/>
      <c r="QU7" s="6"/>
      <c r="QV7" s="6"/>
      <c r="QW7" s="6"/>
      <c r="QX7" s="6"/>
      <c r="QY7" s="6"/>
      <c r="QZ7" s="6"/>
      <c r="RA7" s="6"/>
      <c r="RB7" s="6"/>
      <c r="RC7" s="6"/>
      <c r="RD7" s="6"/>
      <c r="RE7" s="6"/>
      <c r="RF7" s="6"/>
      <c r="RG7" s="6"/>
      <c r="RH7" s="6"/>
      <c r="RI7" s="6"/>
      <c r="RJ7" s="6"/>
      <c r="RK7" s="6"/>
      <c r="RL7" s="6"/>
      <c r="RM7" s="6"/>
      <c r="RN7" s="6"/>
      <c r="RO7" s="6"/>
      <c r="RP7" s="6"/>
      <c r="RQ7" s="6"/>
      <c r="RR7" s="6"/>
      <c r="RS7" s="6"/>
      <c r="RT7" s="6"/>
      <c r="RU7" s="6"/>
      <c r="RV7" s="6"/>
      <c r="RW7" s="6"/>
      <c r="RX7" s="6"/>
      <c r="RY7" s="6"/>
      <c r="RZ7" s="6"/>
      <c r="SA7" s="6"/>
      <c r="SB7" s="6"/>
      <c r="SC7" s="6"/>
      <c r="SD7" s="6"/>
      <c r="SE7" s="6"/>
      <c r="SF7" s="6"/>
      <c r="SG7" s="6"/>
      <c r="SH7" s="6"/>
      <c r="SI7" s="6"/>
      <c r="SJ7" s="6"/>
      <c r="SK7" s="6"/>
      <c r="SL7" s="6"/>
      <c r="SM7" s="6"/>
      <c r="SN7" s="6"/>
      <c r="SO7" s="6"/>
      <c r="SP7" s="6"/>
      <c r="SQ7" s="6"/>
      <c r="SR7" s="6"/>
      <c r="SS7" s="6"/>
      <c r="ST7" s="6"/>
      <c r="SU7" s="6"/>
      <c r="SV7" s="6"/>
      <c r="SW7" s="6"/>
      <c r="SX7" s="6"/>
      <c r="SY7" s="6"/>
      <c r="SZ7" s="6"/>
      <c r="TA7" s="6"/>
      <c r="TB7" s="6"/>
      <c r="TC7" s="6"/>
      <c r="TD7" s="6"/>
      <c r="TE7" s="6"/>
      <c r="TF7" s="6"/>
      <c r="TG7" s="6"/>
      <c r="TH7" s="6"/>
      <c r="TI7" s="6"/>
      <c r="TJ7" s="6"/>
      <c r="TK7" s="6"/>
      <c r="TL7" s="6"/>
      <c r="TM7" s="6"/>
      <c r="TN7" s="6"/>
      <c r="TO7" s="6"/>
      <c r="TP7" s="6"/>
      <c r="TQ7" s="6"/>
      <c r="TR7" s="6"/>
      <c r="TS7" s="6"/>
      <c r="TT7" s="6"/>
      <c r="TU7" s="6"/>
      <c r="TV7" s="6"/>
      <c r="TW7" s="6"/>
      <c r="TX7" s="6"/>
      <c r="TY7" s="6"/>
      <c r="TZ7" s="6"/>
      <c r="UA7" s="6"/>
      <c r="UB7" s="6"/>
      <c r="UC7" s="6"/>
      <c r="UD7" s="6"/>
      <c r="UE7" s="6"/>
      <c r="UF7" s="6"/>
      <c r="UG7" s="6"/>
      <c r="UH7" s="6"/>
      <c r="UI7" s="6"/>
      <c r="UJ7" s="6"/>
      <c r="UK7" s="6"/>
      <c r="UL7" s="6"/>
      <c r="UM7" s="6"/>
      <c r="UN7" s="6"/>
      <c r="UO7" s="6"/>
      <c r="UP7" s="6"/>
      <c r="UQ7" s="6"/>
      <c r="UR7" s="6"/>
      <c r="US7" s="6"/>
      <c r="UT7" s="6"/>
      <c r="UU7" s="6"/>
      <c r="UV7" s="6"/>
      <c r="UW7" s="6"/>
      <c r="UX7" s="6"/>
      <c r="UY7" s="6"/>
      <c r="UZ7" s="6"/>
      <c r="VA7" s="6"/>
      <c r="VB7" s="6"/>
      <c r="VC7" s="6"/>
      <c r="VD7" s="6"/>
      <c r="VE7" s="6"/>
      <c r="VF7" s="6"/>
      <c r="VG7" s="6"/>
      <c r="VH7" s="6"/>
      <c r="VI7" s="6"/>
      <c r="VJ7" s="6"/>
      <c r="VK7" s="6"/>
      <c r="VL7" s="6"/>
      <c r="VM7" s="6"/>
      <c r="VN7" s="6"/>
      <c r="VO7" s="6"/>
      <c r="VP7" s="6"/>
      <c r="VQ7" s="6"/>
      <c r="VR7" s="6"/>
      <c r="VS7" s="6"/>
      <c r="VT7" s="6"/>
      <c r="VU7" s="6"/>
      <c r="VV7" s="6"/>
      <c r="VW7" s="6"/>
      <c r="VX7" s="6"/>
      <c r="VY7" s="6"/>
      <c r="VZ7" s="6"/>
      <c r="WA7" s="6"/>
      <c r="WB7" s="6"/>
      <c r="WC7" s="6"/>
      <c r="WD7" s="6"/>
      <c r="WE7" s="6"/>
      <c r="WF7" s="6"/>
      <c r="WG7" s="6"/>
      <c r="WH7" s="6"/>
      <c r="WI7" s="6"/>
      <c r="WJ7" s="6"/>
      <c r="WK7" s="6"/>
      <c r="WL7" s="6"/>
      <c r="WM7" s="6"/>
      <c r="WN7" s="6"/>
      <c r="WO7" s="6"/>
      <c r="WP7" s="6"/>
      <c r="WQ7" s="6"/>
      <c r="WR7" s="6"/>
      <c r="WS7" s="6"/>
      <c r="WT7" s="6"/>
      <c r="WU7" s="6"/>
      <c r="WV7" s="6"/>
      <c r="WW7" s="6"/>
      <c r="WX7" s="6"/>
      <c r="WY7" s="6"/>
      <c r="WZ7" s="6"/>
      <c r="XA7" s="6"/>
      <c r="XB7" s="6"/>
      <c r="XC7" s="6"/>
      <c r="XD7" s="6"/>
      <c r="XE7" s="6"/>
      <c r="XF7" s="6"/>
      <c r="XG7" s="6"/>
      <c r="XH7" s="6"/>
      <c r="XI7" s="6"/>
      <c r="XJ7" s="6"/>
      <c r="XK7" s="6"/>
      <c r="XL7" s="6"/>
      <c r="XM7" s="6"/>
      <c r="XN7" s="6"/>
      <c r="XO7" s="6"/>
      <c r="XP7" s="6"/>
      <c r="XQ7" s="6"/>
      <c r="XR7" s="6"/>
      <c r="XS7" s="6"/>
      <c r="XT7" s="6"/>
      <c r="XU7" s="6"/>
      <c r="XV7" s="6"/>
      <c r="XW7" s="6"/>
      <c r="XX7" s="6"/>
      <c r="XY7" s="6"/>
      <c r="XZ7" s="6"/>
      <c r="YA7" s="6"/>
      <c r="YB7" s="6"/>
      <c r="YC7" s="6"/>
      <c r="YD7" s="6"/>
      <c r="YE7" s="6"/>
      <c r="YF7" s="6"/>
      <c r="YG7" s="6"/>
      <c r="YH7" s="6"/>
      <c r="YI7" s="6"/>
      <c r="YJ7" s="6"/>
      <c r="YK7" s="6"/>
      <c r="YL7" s="6"/>
      <c r="YM7" s="6"/>
      <c r="YN7" s="6"/>
      <c r="YO7" s="6"/>
      <c r="YP7" s="6"/>
      <c r="YQ7" s="6"/>
      <c r="YR7" s="6"/>
      <c r="YS7" s="6"/>
      <c r="YT7" s="6"/>
      <c r="YU7" s="6"/>
      <c r="YV7" s="6"/>
      <c r="YW7" s="6"/>
      <c r="YX7" s="6"/>
      <c r="YY7" s="6"/>
      <c r="YZ7" s="6"/>
      <c r="ZA7" s="6"/>
      <c r="ZB7" s="6"/>
      <c r="ZC7" s="6"/>
      <c r="ZD7" s="6"/>
      <c r="ZE7" s="6"/>
      <c r="ZF7" s="6"/>
      <c r="ZG7" s="6"/>
      <c r="ZH7" s="6"/>
      <c r="ZI7" s="6"/>
      <c r="ZJ7" s="6"/>
      <c r="ZK7" s="6"/>
      <c r="ZL7" s="6"/>
      <c r="ZM7" s="6"/>
      <c r="ZN7" s="6"/>
      <c r="ZO7" s="6"/>
      <c r="ZP7" s="6"/>
      <c r="ZQ7" s="6"/>
      <c r="ZR7" s="6"/>
      <c r="ZS7" s="6"/>
      <c r="ZT7" s="6"/>
      <c r="ZU7" s="6"/>
      <c r="ZV7" s="6"/>
      <c r="ZW7" s="6"/>
      <c r="ZX7" s="6"/>
      <c r="ZY7" s="6"/>
      <c r="ZZ7" s="6"/>
      <c r="AAA7" s="6"/>
      <c r="AAB7" s="6"/>
      <c r="AAC7" s="6"/>
      <c r="AAD7" s="6"/>
      <c r="AAE7" s="6"/>
      <c r="AAF7" s="6"/>
      <c r="AAG7" s="6"/>
      <c r="AAH7" s="6"/>
      <c r="AAI7" s="6"/>
      <c r="AAJ7" s="6"/>
      <c r="AAK7" s="6"/>
      <c r="AAL7" s="6"/>
      <c r="AAM7" s="6"/>
      <c r="AAN7" s="6"/>
      <c r="AAO7" s="6"/>
      <c r="AAP7" s="6"/>
      <c r="AAQ7" s="6"/>
      <c r="AAR7" s="6"/>
      <c r="AAS7" s="6"/>
      <c r="AAT7" s="6"/>
      <c r="AAU7" s="6"/>
      <c r="AAV7" s="6"/>
      <c r="AAW7" s="6"/>
      <c r="AAX7" s="6"/>
      <c r="AAY7" s="6"/>
      <c r="AAZ7" s="6"/>
      <c r="ABA7" s="6"/>
      <c r="ABB7" s="6"/>
      <c r="ABC7" s="6"/>
      <c r="ABD7" s="6"/>
      <c r="ABE7" s="6"/>
      <c r="ABF7" s="6"/>
      <c r="ABG7" s="6"/>
      <c r="ABH7" s="6"/>
      <c r="ABI7" s="6"/>
      <c r="ABJ7" s="6"/>
      <c r="ABK7" s="6"/>
      <c r="ABL7" s="6"/>
      <c r="ABM7" s="6"/>
      <c r="ABN7" s="6"/>
      <c r="ABO7" s="6"/>
      <c r="ABP7" s="6"/>
      <c r="ABQ7" s="6"/>
      <c r="ABR7" s="6"/>
      <c r="ABS7" s="6"/>
      <c r="ABT7" s="6"/>
      <c r="ABU7" s="6"/>
      <c r="ABV7" s="6"/>
      <c r="ABW7" s="6"/>
      <c r="ABX7" s="6"/>
      <c r="ABY7" s="6"/>
      <c r="ABZ7" s="6"/>
      <c r="ACA7" s="6"/>
      <c r="ACB7" s="6"/>
      <c r="ACC7" s="6"/>
      <c r="ACD7" s="6"/>
      <c r="ACE7" s="6"/>
      <c r="ACF7" s="6"/>
      <c r="ACG7" s="6"/>
      <c r="ACH7" s="6"/>
      <c r="ACI7" s="6"/>
      <c r="ACJ7" s="6"/>
      <c r="ACK7" s="6"/>
      <c r="ACL7" s="6"/>
      <c r="ACM7" s="6"/>
      <c r="ACN7" s="6"/>
      <c r="ACO7" s="6"/>
      <c r="ACP7" s="6"/>
      <c r="ACQ7" s="6"/>
      <c r="ACR7" s="6"/>
      <c r="ACS7" s="6"/>
      <c r="ACT7" s="6"/>
      <c r="ACU7" s="6"/>
      <c r="ACV7" s="6"/>
      <c r="ACW7" s="6"/>
      <c r="ACX7" s="6"/>
      <c r="ACY7" s="6"/>
      <c r="ACZ7" s="6"/>
      <c r="ADA7" s="6"/>
      <c r="ADB7" s="6"/>
      <c r="ADC7" s="6"/>
      <c r="ADD7" s="6"/>
      <c r="ADE7" s="6"/>
      <c r="ADF7" s="6"/>
      <c r="ADG7" s="6"/>
      <c r="ADH7" s="6"/>
      <c r="ADI7" s="6"/>
      <c r="ADJ7" s="6"/>
      <c r="ADK7" s="6"/>
      <c r="ADL7" s="6"/>
      <c r="ADM7" s="6"/>
      <c r="ADN7" s="6"/>
      <c r="ADO7" s="6"/>
      <c r="ADP7" s="6"/>
      <c r="ADQ7" s="6"/>
      <c r="ADR7" s="6"/>
      <c r="ADS7" s="6"/>
      <c r="ADT7" s="6"/>
      <c r="ADU7" s="6"/>
      <c r="ADV7" s="6"/>
      <c r="ADW7" s="6"/>
      <c r="ADX7" s="6"/>
      <c r="ADY7" s="6"/>
      <c r="ADZ7" s="6"/>
      <c r="AEA7" s="6"/>
      <c r="AEB7" s="6"/>
      <c r="AEC7" s="6"/>
      <c r="AED7" s="6"/>
      <c r="AEE7" s="6"/>
      <c r="AEF7" s="6"/>
      <c r="AEG7" s="6"/>
      <c r="AEH7" s="6"/>
      <c r="AEI7" s="6"/>
      <c r="AEJ7" s="6"/>
      <c r="AEK7" s="6"/>
      <c r="AEL7" s="6"/>
      <c r="AEM7" s="6"/>
      <c r="AEN7" s="6"/>
      <c r="AEO7" s="6"/>
      <c r="AEP7" s="6"/>
      <c r="AEQ7" s="6"/>
      <c r="AER7" s="6"/>
      <c r="AES7" s="6"/>
      <c r="AET7" s="6"/>
      <c r="AEU7" s="6"/>
      <c r="AEV7" s="6"/>
      <c r="AEW7" s="6"/>
      <c r="AEX7" s="6"/>
      <c r="AEY7" s="6"/>
      <c r="AEZ7" s="6"/>
      <c r="AFA7" s="6"/>
      <c r="AFB7" s="6"/>
      <c r="AFC7" s="6"/>
      <c r="AFD7" s="6"/>
      <c r="AFE7" s="6"/>
      <c r="AFF7" s="6"/>
      <c r="AFG7" s="6"/>
      <c r="AFH7" s="6"/>
      <c r="AFI7" s="6"/>
      <c r="AFJ7" s="6"/>
      <c r="AFK7" s="6"/>
      <c r="AFL7" s="6"/>
      <c r="AFM7" s="6"/>
      <c r="AFN7" s="6"/>
      <c r="AFO7" s="6"/>
      <c r="AFP7" s="6"/>
      <c r="AFQ7" s="6"/>
      <c r="AFR7" s="6"/>
      <c r="AFS7" s="6"/>
      <c r="AFT7" s="6"/>
      <c r="AFU7" s="6"/>
      <c r="AFV7" s="6"/>
      <c r="AFW7" s="6"/>
      <c r="AFX7" s="6"/>
      <c r="AFY7" s="6"/>
      <c r="AFZ7" s="6"/>
      <c r="AGA7" s="6"/>
      <c r="AGB7" s="6"/>
      <c r="AGC7" s="6"/>
      <c r="AGD7" s="6"/>
      <c r="AGE7" s="6"/>
      <c r="AGF7" s="6"/>
      <c r="AGG7" s="6"/>
      <c r="AGH7" s="6"/>
      <c r="AGI7" s="6"/>
      <c r="AGJ7" s="6"/>
      <c r="AGK7" s="6"/>
      <c r="AGL7" s="6"/>
      <c r="AGM7" s="6"/>
      <c r="AGN7" s="6"/>
      <c r="AGO7" s="6"/>
      <c r="AGP7" s="6"/>
      <c r="AGQ7" s="6"/>
      <c r="AGR7" s="6"/>
      <c r="AGS7" s="6"/>
      <c r="AGT7" s="6"/>
      <c r="AGU7" s="6"/>
      <c r="AGV7" s="6"/>
      <c r="AGW7" s="6"/>
      <c r="AGX7" s="6"/>
      <c r="AGY7" s="6"/>
      <c r="AGZ7" s="6"/>
      <c r="AHA7" s="6"/>
      <c r="AHB7" s="6"/>
      <c r="AHC7" s="6"/>
      <c r="AHD7" s="6"/>
      <c r="AHE7" s="6"/>
      <c r="AHF7" s="6"/>
      <c r="AHG7" s="6"/>
      <c r="AHH7" s="6"/>
      <c r="AHI7" s="6"/>
      <c r="AHJ7" s="6"/>
      <c r="AHK7" s="6"/>
      <c r="AHL7" s="6"/>
      <c r="AHM7" s="6"/>
      <c r="AHN7" s="6"/>
      <c r="AHO7" s="6"/>
      <c r="AHP7" s="6"/>
      <c r="AHQ7" s="6"/>
      <c r="AHR7" s="6"/>
      <c r="AHS7" s="6"/>
      <c r="AHT7" s="6"/>
      <c r="AHU7" s="6"/>
      <c r="AHV7" s="6"/>
      <c r="AHW7" s="6"/>
      <c r="AHX7" s="6"/>
      <c r="AHY7" s="6"/>
      <c r="AHZ7" s="6"/>
      <c r="AIA7" s="6"/>
      <c r="AIB7" s="6"/>
      <c r="AIC7" s="6"/>
      <c r="AID7" s="6"/>
      <c r="AIE7" s="6"/>
      <c r="AIF7" s="6"/>
      <c r="AIG7" s="6"/>
      <c r="AIH7" s="6"/>
      <c r="AII7" s="6"/>
      <c r="AIJ7" s="6"/>
      <c r="AIK7" s="6"/>
      <c r="AIL7" s="6"/>
      <c r="AIM7" s="6"/>
      <c r="AIN7" s="6"/>
      <c r="AIO7" s="6"/>
      <c r="AIP7" s="6"/>
      <c r="AIQ7" s="6"/>
      <c r="AIR7" s="6"/>
      <c r="AIS7" s="6"/>
      <c r="AIT7" s="6"/>
      <c r="AIU7" s="6"/>
      <c r="AIV7" s="6"/>
      <c r="AIW7" s="6"/>
      <c r="AIX7" s="6"/>
      <c r="AIY7" s="6"/>
      <c r="AIZ7" s="6"/>
      <c r="AJA7" s="6"/>
      <c r="AJB7" s="6"/>
      <c r="AJC7" s="6"/>
      <c r="AJD7" s="6"/>
      <c r="AJE7" s="6"/>
      <c r="AJF7" s="6"/>
      <c r="AJG7" s="6"/>
      <c r="AJH7" s="6"/>
      <c r="AJI7" s="6"/>
      <c r="AJJ7" s="6"/>
      <c r="AJK7" s="6"/>
      <c r="AJL7" s="6"/>
      <c r="AJM7" s="6"/>
      <c r="AJN7" s="6"/>
      <c r="AJO7" s="6"/>
      <c r="AJP7" s="6"/>
      <c r="AJQ7" s="6"/>
      <c r="AJR7" s="6"/>
      <c r="AJS7" s="6"/>
      <c r="AJT7" s="6"/>
      <c r="AJU7" s="6"/>
      <c r="AJV7" s="6"/>
      <c r="AJW7" s="6"/>
      <c r="AJX7" s="6"/>
      <c r="AJY7" s="6"/>
      <c r="AJZ7" s="6"/>
      <c r="AKA7" s="6"/>
      <c r="AKB7" s="6"/>
      <c r="AKC7" s="6"/>
      <c r="AKD7" s="6"/>
      <c r="AKE7" s="6"/>
      <c r="AKF7" s="6"/>
      <c r="AKG7" s="6"/>
      <c r="AKH7" s="6"/>
      <c r="AKI7" s="6"/>
      <c r="AKJ7" s="6"/>
      <c r="AKK7" s="6"/>
      <c r="AKL7" s="6"/>
      <c r="AKM7" s="6"/>
      <c r="AKN7" s="6"/>
      <c r="AKO7" s="6"/>
      <c r="AKP7" s="6"/>
      <c r="AKQ7" s="6"/>
      <c r="AKR7" s="6"/>
      <c r="AKS7" s="6"/>
      <c r="AKT7" s="6"/>
      <c r="AKU7" s="6"/>
      <c r="AKV7" s="6"/>
      <c r="AKW7" s="6"/>
      <c r="AKX7" s="6"/>
      <c r="AKY7" s="6"/>
      <c r="AKZ7" s="6"/>
      <c r="ALA7" s="6"/>
      <c r="ALB7" s="6"/>
      <c r="ALC7" s="6"/>
      <c r="ALD7" s="6"/>
      <c r="ALE7" s="6"/>
      <c r="ALF7" s="6"/>
      <c r="ALG7" s="6"/>
      <c r="ALH7" s="6"/>
      <c r="ALI7" s="6"/>
      <c r="ALJ7" s="6"/>
      <c r="ALK7" s="6"/>
      <c r="ALL7" s="6"/>
      <c r="ALM7" s="6"/>
      <c r="ALN7" s="6"/>
      <c r="ALO7" s="6"/>
      <c r="ALP7" s="6"/>
      <c r="ALQ7" s="6"/>
      <c r="ALR7" s="6"/>
      <c r="ALS7" s="6"/>
      <c r="ALT7" s="6"/>
      <c r="ALU7" s="6"/>
      <c r="ALV7" s="6"/>
      <c r="ALW7" s="6"/>
      <c r="ALX7" s="6"/>
      <c r="ALY7" s="6"/>
      <c r="ALZ7" s="6"/>
      <c r="AMA7" s="6"/>
      <c r="AMB7" s="6"/>
      <c r="AMC7" s="6"/>
      <c r="AMD7" s="6"/>
      <c r="AME7" s="6"/>
      <c r="AMF7" s="6"/>
      <c r="AMG7" s="6"/>
      <c r="AMH7" s="6"/>
      <c r="AMI7" s="6"/>
      <c r="AMJ7" s="6"/>
      <c r="AMK7" s="6"/>
      <c r="AML7" s="6"/>
      <c r="AMM7" s="6"/>
      <c r="AMN7" s="6"/>
      <c r="AMO7" s="6"/>
      <c r="AMP7" s="6"/>
      <c r="AMQ7" s="6"/>
    </row>
    <row r="8" spans="1:1031" ht="12.75" customHeight="1">
      <c r="A8">
        <v>2</v>
      </c>
      <c r="B8" t="s">
        <v>56</v>
      </c>
      <c r="C8" s="6" t="s">
        <v>16</v>
      </c>
      <c r="D8" s="16">
        <v>102.9</v>
      </c>
      <c r="E8" s="16">
        <v>40</v>
      </c>
      <c r="F8" s="16">
        <v>31</v>
      </c>
      <c r="G8" s="16">
        <v>36</v>
      </c>
      <c r="H8" s="16">
        <v>107</v>
      </c>
      <c r="I8" s="5">
        <v>1.1000000000000001</v>
      </c>
      <c r="J8" s="5">
        <v>5</v>
      </c>
      <c r="K8" s="5">
        <v>0.4</v>
      </c>
      <c r="L8" s="6"/>
      <c r="M8" s="6">
        <f>ABS(D8-H8)</f>
        <v>4.0999999999999943</v>
      </c>
      <c r="N8" s="6"/>
      <c r="O8" s="6" t="s">
        <v>17</v>
      </c>
      <c r="P8" s="4">
        <v>802.6</v>
      </c>
      <c r="Q8" s="4">
        <v>3077.4</v>
      </c>
      <c r="R8" s="4">
        <f>Table1[[#This Row],[max]]-Table1[[#This Row],[min]]</f>
        <v>2274.8000000000002</v>
      </c>
      <c r="S8" s="4">
        <f>VLOOKUP(Table1[[#This Row],[finger]],fingerMaxMin[],3)-Table1[[#This Row],[max]]</f>
        <v>-2.4000000000000909</v>
      </c>
      <c r="T8" s="7">
        <f>P8/scale</f>
        <v>43.201636344062869</v>
      </c>
      <c r="U8" s="7">
        <f>Q8/scale</f>
        <v>165.64754010119498</v>
      </c>
      <c r="V8" s="28">
        <f>Table1[[#This Row],[scaled max]]-Table1[[#This Row],[scaled min]]</f>
        <v>122.4459037571321</v>
      </c>
      <c r="W8" s="28">
        <f>(VLOOKUP(Table1[[#This Row],[finger]],fingerMaxMin[],3)/scale)-T8</f>
        <v>122.31671869953709</v>
      </c>
      <c r="X8" s="8">
        <f>SIN(RADIANS(T8))</f>
        <v>0.68456792469579331</v>
      </c>
      <c r="Y8" s="8">
        <f>SIN(RADIANS(U8))</f>
        <v>0.24788613789303982</v>
      </c>
      <c r="Z8" s="6"/>
      <c r="AA8">
        <f>COS(RADIANS(T8))</f>
        <v>0.7289490767383513</v>
      </c>
      <c r="AB8">
        <f>COS(RADIANS(U8))</f>
        <v>-0.96878917347401894</v>
      </c>
      <c r="AC8" s="6"/>
      <c r="AD8" s="6">
        <f>P8/Q8</f>
        <v>0.2608045752908299</v>
      </c>
      <c r="AF8" t="s">
        <v>17</v>
      </c>
      <c r="AG8">
        <v>1878.73</v>
      </c>
      <c r="AH8">
        <v>2339.2600000000002</v>
      </c>
      <c r="AI8" s="6">
        <f>Table1[[#This Row],[Smax]]-Table1[[#This Row],[Smin]]</f>
        <v>460.5300000000002</v>
      </c>
      <c r="AJ8" s="6">
        <f>AVERAGE(Table1[[#This Row],[Smin]:[Smax]])</f>
        <v>2108.9949999999999</v>
      </c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</row>
    <row r="9" spans="1:1031" ht="12.75" customHeight="1">
      <c r="A9">
        <v>2</v>
      </c>
      <c r="B9" t="s">
        <v>56</v>
      </c>
      <c r="C9" s="6" t="s">
        <v>101</v>
      </c>
      <c r="D9" s="4">
        <v>104.4</v>
      </c>
      <c r="E9" s="4">
        <v>35</v>
      </c>
      <c r="F9" s="4">
        <v>34</v>
      </c>
      <c r="G9" s="4">
        <v>38</v>
      </c>
      <c r="H9" s="4">
        <v>107</v>
      </c>
      <c r="I9" s="5">
        <v>1.1000000000000001</v>
      </c>
      <c r="J9" s="5">
        <v>0</v>
      </c>
      <c r="K9" s="5">
        <v>0.5</v>
      </c>
      <c r="M9" s="6">
        <f>ABS(D9-H9)</f>
        <v>2.5999999999999943</v>
      </c>
      <c r="O9" t="s">
        <v>102</v>
      </c>
      <c r="P9">
        <v>980.08</v>
      </c>
      <c r="Q9">
        <v>3014.25</v>
      </c>
      <c r="R9" s="4">
        <f>Table1[[#This Row],[max]]-Table1[[#This Row],[min]]</f>
        <v>2034.17</v>
      </c>
      <c r="S9" s="4">
        <f>VLOOKUP(Table1[[#This Row],[finger]],fingerMaxMin[],3)-Table1[[#This Row],[max]]</f>
        <v>60.75</v>
      </c>
      <c r="T9" s="7">
        <f>P9/scale</f>
        <v>52.754871353213481</v>
      </c>
      <c r="U9" s="7">
        <f>Q9/scale</f>
        <v>162.24835827322642</v>
      </c>
      <c r="V9" s="28">
        <f>Table1[[#This Row],[scaled max]]-Table1[[#This Row],[scaled min]]</f>
        <v>109.49348692001294</v>
      </c>
      <c r="W9" s="28">
        <f>(VLOOKUP(Table1[[#This Row],[finger]],fingerMaxMin[],3)/scale)-T9</f>
        <v>112.76348369038649</v>
      </c>
      <c r="X9" s="8">
        <f>SIN(RADIANS(T9))</f>
        <v>0.79605346245009845</v>
      </c>
      <c r="Y9" s="8">
        <f>SIN(RADIANS(U9))</f>
        <v>0.30489158841172798</v>
      </c>
      <c r="AA9" s="6">
        <f>COS(RADIANS(T9))</f>
        <v>0.60522630884753326</v>
      </c>
      <c r="AB9" s="6">
        <f>COS(RADIANS(U9))</f>
        <v>-0.95238706381164873</v>
      </c>
      <c r="AD9" s="1">
        <f>P9/Q9</f>
        <v>0.32514887617151861</v>
      </c>
      <c r="AF9" t="s">
        <v>102</v>
      </c>
      <c r="AG9">
        <v>1877.99</v>
      </c>
      <c r="AH9">
        <v>2047.09</v>
      </c>
      <c r="AI9" s="6">
        <f>Table1[[#This Row],[Smax]]-Table1[[#This Row],[Smin]]</f>
        <v>169.09999999999991</v>
      </c>
      <c r="AJ9" s="6">
        <f>AVERAGE(Table1[[#This Row],[Smin]:[Smax]])</f>
        <v>1962.54</v>
      </c>
      <c r="AL9" s="6"/>
    </row>
    <row r="10" spans="1:1031" ht="12.75" customHeight="1">
      <c r="A10">
        <v>2</v>
      </c>
      <c r="B10" t="s">
        <v>164</v>
      </c>
      <c r="C10" s="6" t="s">
        <v>14</v>
      </c>
      <c r="D10" s="4">
        <v>103.6</v>
      </c>
      <c r="E10" s="4">
        <v>38</v>
      </c>
      <c r="F10" s="4">
        <v>35</v>
      </c>
      <c r="G10" s="4">
        <v>35</v>
      </c>
      <c r="H10" s="4">
        <v>108</v>
      </c>
      <c r="I10" s="5">
        <v>1.1000000000000001</v>
      </c>
      <c r="J10" s="5">
        <v>0</v>
      </c>
      <c r="K10" s="5">
        <v>0.6</v>
      </c>
      <c r="M10" s="6">
        <f>ABS(D10-H10)</f>
        <v>4.4000000000000057</v>
      </c>
      <c r="O10" s="6" t="s">
        <v>15</v>
      </c>
      <c r="P10" s="4">
        <v>882.42</v>
      </c>
      <c r="Q10" s="4">
        <v>2916.81</v>
      </c>
      <c r="R10" s="4">
        <f>Table1[[#This Row],[max]]-Table1[[#This Row],[min]]</f>
        <v>2034.3899999999999</v>
      </c>
      <c r="S10" s="4">
        <f>VLOOKUP(Table1[[#This Row],[finger]],fingerMaxMin[],3)-Table1[[#This Row],[max]]</f>
        <v>158.19000000000005</v>
      </c>
      <c r="T10" s="7">
        <f>P10/scale</f>
        <v>47.498116051243407</v>
      </c>
      <c r="U10" s="7">
        <f>Q10/scale</f>
        <v>157.00344493486921</v>
      </c>
      <c r="V10" s="28">
        <f>Table1[[#This Row],[scaled max]]-Table1[[#This Row],[scaled min]]</f>
        <v>109.50532888362579</v>
      </c>
      <c r="W10" s="28">
        <f>(VLOOKUP(Table1[[#This Row],[finger]],fingerMaxMin[],3)/scale)-T10</f>
        <v>118.02023899235655</v>
      </c>
      <c r="X10" s="8">
        <f>SIN(RADIANS(T10))</f>
        <v>0.73725512225648671</v>
      </c>
      <c r="Y10" s="8">
        <f>SIN(RADIANS(U10))</f>
        <v>0.39067578200899733</v>
      </c>
      <c r="AA10">
        <f>COS(RADIANS(T10))</f>
        <v>0.67561444974672713</v>
      </c>
      <c r="AB10">
        <f>COS(RADIANS(U10))</f>
        <v>-0.92052834467584888</v>
      </c>
      <c r="AD10" s="1">
        <f>P10/Q10</f>
        <v>0.30252913285404259</v>
      </c>
      <c r="AF10" t="s">
        <v>15</v>
      </c>
      <c r="AG10">
        <v>1893.59</v>
      </c>
      <c r="AH10">
        <v>2241.83</v>
      </c>
      <c r="AI10" s="6">
        <f>Table1[[#This Row],[Smax]]-Table1[[#This Row],[Smin]]</f>
        <v>348.24</v>
      </c>
      <c r="AJ10" s="6">
        <f>AVERAGE(Table1[[#This Row],[Smin]:[Smax]])</f>
        <v>2067.71</v>
      </c>
      <c r="AL10" s="6"/>
    </row>
    <row r="11" spans="1:1031" ht="12.75" customHeight="1">
      <c r="A11">
        <v>2</v>
      </c>
      <c r="B11" t="s">
        <v>164</v>
      </c>
      <c r="C11" s="6" t="s">
        <v>18</v>
      </c>
      <c r="D11" s="16">
        <v>104.2</v>
      </c>
      <c r="E11" s="16">
        <v>40</v>
      </c>
      <c r="F11" s="16">
        <v>34</v>
      </c>
      <c r="G11" s="16">
        <v>35</v>
      </c>
      <c r="H11" s="16">
        <v>109</v>
      </c>
      <c r="I11" s="5">
        <v>1.1000000000000001</v>
      </c>
      <c r="J11" s="5">
        <v>0</v>
      </c>
      <c r="K11" s="5">
        <v>0.6</v>
      </c>
      <c r="M11" s="6">
        <f>ABS(D11-H11)</f>
        <v>4.7999999999999972</v>
      </c>
      <c r="O11" s="6" t="s">
        <v>19</v>
      </c>
      <c r="P11" s="4">
        <v>826.05</v>
      </c>
      <c r="Q11" s="4">
        <v>2864.08</v>
      </c>
      <c r="R11" s="4">
        <f>Table1[[#This Row],[max]]-Table1[[#This Row],[min]]</f>
        <v>2038.03</v>
      </c>
      <c r="S11" s="4">
        <f>VLOOKUP(Table1[[#This Row],[finger]],fingerMaxMin[],3)-Table1[[#This Row],[max]]</f>
        <v>210.92000000000007</v>
      </c>
      <c r="T11" s="7">
        <f>P11/scale</f>
        <v>44.463882010980726</v>
      </c>
      <c r="U11" s="7">
        <f>Q11/scale</f>
        <v>154.16514156529229</v>
      </c>
      <c r="V11" s="28">
        <f>Table1[[#This Row],[scaled max]]-Table1[[#This Row],[scaled min]]</f>
        <v>109.70125955431156</v>
      </c>
      <c r="W11" s="28">
        <f>(VLOOKUP(Table1[[#This Row],[finger]],fingerMaxMin[],3)/scale)-T11</f>
        <v>121.05447303261924</v>
      </c>
      <c r="X11" s="8">
        <f>SIN(RADIANS(T11))</f>
        <v>0.7004595077986393</v>
      </c>
      <c r="Y11" s="8">
        <f>SIN(RADIANS(U11))</f>
        <v>0.43577876774021018</v>
      </c>
      <c r="AA11">
        <f>COS(RADIANS(T11))</f>
        <v>0.71369214506990897</v>
      </c>
      <c r="AB11">
        <f>COS(RADIANS(U11))</f>
        <v>-0.90005381260612627</v>
      </c>
      <c r="AD11" s="1">
        <f>P11/Q11</f>
        <v>0.28841722298259825</v>
      </c>
      <c r="AF11" t="s">
        <v>19</v>
      </c>
      <c r="AG11">
        <v>1880.4</v>
      </c>
      <c r="AH11">
        <v>2311.2199999999998</v>
      </c>
      <c r="AI11" s="6">
        <f>Table1[[#This Row],[Smax]]-Table1[[#This Row],[Smin]]</f>
        <v>430.81999999999971</v>
      </c>
      <c r="AJ11" s="6">
        <f>AVERAGE(Table1[[#This Row],[Smin]:[Smax]])</f>
        <v>2095.81</v>
      </c>
      <c r="AL11" s="6"/>
    </row>
    <row r="12" spans="1:1031" ht="12.75" customHeight="1">
      <c r="A12">
        <v>2</v>
      </c>
      <c r="B12" t="s">
        <v>164</v>
      </c>
      <c r="C12" s="6" t="s">
        <v>28</v>
      </c>
      <c r="D12" s="9">
        <v>111.1</v>
      </c>
      <c r="E12" s="9">
        <v>49</v>
      </c>
      <c r="F12" s="9">
        <v>25</v>
      </c>
      <c r="G12" s="9">
        <v>37</v>
      </c>
      <c r="H12" s="9">
        <v>111</v>
      </c>
      <c r="I12" s="5">
        <v>1.1000000000000001</v>
      </c>
      <c r="J12" s="5">
        <v>0</v>
      </c>
      <c r="K12" s="5">
        <v>0.6</v>
      </c>
      <c r="M12" s="6">
        <f>ABS(D12-H12)</f>
        <v>9.9999999999994316E-2</v>
      </c>
      <c r="O12" s="6" t="s">
        <v>29</v>
      </c>
      <c r="P12" s="4">
        <v>920.98</v>
      </c>
      <c r="Q12" s="4">
        <v>2849.22</v>
      </c>
      <c r="R12" s="4">
        <f>Table1[[#This Row],[max]]-Table1[[#This Row],[min]]</f>
        <v>1928.2399999999998</v>
      </c>
      <c r="S12" s="4">
        <f>VLOOKUP(Table1[[#This Row],[finger]],fingerMaxMin[],3)-Table1[[#This Row],[max]]</f>
        <v>225.7800000000002</v>
      </c>
      <c r="T12" s="7">
        <f>P12/scale</f>
        <v>49.573689309936483</v>
      </c>
      <c r="U12" s="7">
        <f>Q12/scale</f>
        <v>153.36527075034988</v>
      </c>
      <c r="V12" s="28">
        <f>Table1[[#This Row],[scaled max]]-Table1[[#This Row],[scaled min]]</f>
        <v>103.7915814404134</v>
      </c>
      <c r="W12" s="28">
        <f>(VLOOKUP(Table1[[#This Row],[finger]],fingerMaxMin[],3)/scale)-T12</f>
        <v>115.94466573366348</v>
      </c>
      <c r="X12" s="8">
        <f>SIN(RADIANS(T12))</f>
        <v>0.76124060529983084</v>
      </c>
      <c r="Y12" s="8">
        <f>SIN(RADIANS(U12))</f>
        <v>0.44830098797941953</v>
      </c>
      <c r="AA12">
        <f>COS(RADIANS(T12))</f>
        <v>0.64846953732827506</v>
      </c>
      <c r="AB12">
        <f>COS(RADIANS(U12))</f>
        <v>-0.89388266801447513</v>
      </c>
      <c r="AD12" s="1">
        <f>P12/Q12</f>
        <v>0.32323934269729965</v>
      </c>
      <c r="AF12" t="s">
        <v>29</v>
      </c>
      <c r="AG12">
        <v>1888</v>
      </c>
      <c r="AH12">
        <v>2411.73</v>
      </c>
      <c r="AI12" s="6">
        <f>Table1[[#This Row],[Smax]]-Table1[[#This Row],[Smin]]</f>
        <v>523.73</v>
      </c>
      <c r="AJ12" s="6">
        <f>AVERAGE(Table1[[#This Row],[Smin]:[Smax]])</f>
        <v>2149.8649999999998</v>
      </c>
      <c r="AL12" s="6"/>
    </row>
    <row r="13" spans="1:1031" ht="12.75" customHeight="1">
      <c r="A13">
        <v>2</v>
      </c>
      <c r="B13" t="s">
        <v>164</v>
      </c>
      <c r="C13" t="s">
        <v>90</v>
      </c>
      <c r="D13" s="15">
        <v>105.2</v>
      </c>
      <c r="E13" s="15">
        <v>40</v>
      </c>
      <c r="F13" s="15">
        <v>31</v>
      </c>
      <c r="G13" s="15">
        <v>42</v>
      </c>
      <c r="H13" s="15">
        <v>113</v>
      </c>
      <c r="I13">
        <v>1.1000000000000001</v>
      </c>
      <c r="J13">
        <v>0</v>
      </c>
      <c r="K13">
        <v>0.5</v>
      </c>
      <c r="M13" s="6">
        <f>ABS(D13-H13)</f>
        <v>7.7999999999999972</v>
      </c>
      <c r="O13" t="s">
        <v>88</v>
      </c>
      <c r="P13" s="4">
        <v>1057.58</v>
      </c>
      <c r="Q13" s="4">
        <v>2977.85</v>
      </c>
      <c r="R13" s="4">
        <f>Table1[[#This Row],[max]]-Table1[[#This Row],[min]]</f>
        <v>1920.27</v>
      </c>
      <c r="S13" s="4">
        <f>VLOOKUP(Table1[[#This Row],[finger]],fingerMaxMin[],3)-Table1[[#This Row],[max]]</f>
        <v>97.150000000000091</v>
      </c>
      <c r="T13" s="7">
        <f>P13/scale</f>
        <v>56.926472171385505</v>
      </c>
      <c r="U13" s="7">
        <f>Q13/scale</f>
        <v>160.28905156636881</v>
      </c>
      <c r="V13" s="28">
        <f>Table1[[#This Row],[scaled max]]-Table1[[#This Row],[scaled min]]</f>
        <v>103.3625793949833</v>
      </c>
      <c r="W13" s="28">
        <f>(VLOOKUP(Table1[[#This Row],[finger]],fingerMaxMin[],3)/scale)-T13</f>
        <v>108.59188287221446</v>
      </c>
      <c r="X13" s="8">
        <f>SIN(RADIANS(T13))</f>
        <v>0.83797094080361911</v>
      </c>
      <c r="Y13" s="8">
        <f>SIN(RADIANS(U13))</f>
        <v>0.33727515431040311</v>
      </c>
      <c r="AA13">
        <f>COS(RADIANS(T13))</f>
        <v>0.54571485445120282</v>
      </c>
      <c r="AB13">
        <f>COS(RADIANS(U13))</f>
        <v>-0.94140611336707058</v>
      </c>
      <c r="AD13" s="1">
        <f>P13/Q13</f>
        <v>0.35514884900179661</v>
      </c>
      <c r="AF13" t="s">
        <v>88</v>
      </c>
      <c r="AG13">
        <v>1885.82</v>
      </c>
      <c r="AH13">
        <v>2077.9899999999998</v>
      </c>
      <c r="AI13" s="6">
        <f>Table1[[#This Row],[Smax]]-Table1[[#This Row],[Smin]]</f>
        <v>192.16999999999985</v>
      </c>
      <c r="AJ13" s="6">
        <f>AVERAGE(Table1[[#This Row],[Smin]:[Smax]])</f>
        <v>1981.9049999999997</v>
      </c>
      <c r="AL13" s="6"/>
    </row>
    <row r="14" spans="1:1031" ht="12.75" customHeight="1">
      <c r="A14">
        <v>2</v>
      </c>
      <c r="B14" t="s">
        <v>56</v>
      </c>
      <c r="C14" s="6" t="s">
        <v>36</v>
      </c>
      <c r="D14" s="4">
        <v>109.1</v>
      </c>
      <c r="E14" s="4">
        <v>43</v>
      </c>
      <c r="F14" s="4">
        <v>29</v>
      </c>
      <c r="G14" s="4">
        <v>41</v>
      </c>
      <c r="H14" s="4">
        <v>113</v>
      </c>
      <c r="I14" s="5">
        <v>1.3</v>
      </c>
      <c r="J14" s="5">
        <v>0</v>
      </c>
      <c r="K14" s="5">
        <v>0.5</v>
      </c>
      <c r="M14" s="6">
        <f>ABS(D14-H14)</f>
        <v>3.9000000000000057</v>
      </c>
      <c r="O14" s="6" t="s">
        <v>37</v>
      </c>
      <c r="P14" s="4">
        <v>956.52</v>
      </c>
      <c r="Q14" s="4">
        <v>3076.38</v>
      </c>
      <c r="R14" s="4">
        <f>Table1[[#This Row],[max]]-Table1[[#This Row],[min]]</f>
        <v>2119.86</v>
      </c>
      <c r="S14" s="4">
        <f>VLOOKUP(Table1[[#This Row],[finger]],fingerMaxMin[],3)-Table1[[#This Row],[max]]</f>
        <v>-1.3800000000001091</v>
      </c>
      <c r="T14" s="7">
        <f>P14/scale</f>
        <v>51.486704704489185</v>
      </c>
      <c r="U14" s="7">
        <f>Q14/scale</f>
        <v>165.59263645171708</v>
      </c>
      <c r="V14" s="28">
        <f>Table1[[#This Row],[scaled max]]-Table1[[#This Row],[scaled min]]</f>
        <v>114.1059317472279</v>
      </c>
      <c r="W14" s="28">
        <f>(VLOOKUP(Table1[[#This Row],[finger]],fingerMaxMin[],3)/scale)-T14</f>
        <v>114.03165033911078</v>
      </c>
      <c r="X14" s="8">
        <f>SIN(RADIANS(T14))</f>
        <v>0.78246368332794813</v>
      </c>
      <c r="Y14" s="8">
        <f>SIN(RADIANS(U14))</f>
        <v>0.24881436563849071</v>
      </c>
      <c r="AA14">
        <f>COS(RADIANS(T14))</f>
        <v>0.622696221501994</v>
      </c>
      <c r="AB14">
        <f>COS(RADIANS(U14))</f>
        <v>-0.96855119196246697</v>
      </c>
      <c r="AD14" s="1">
        <f>P14/Q14</f>
        <v>0.31092387806447835</v>
      </c>
      <c r="AF14" t="s">
        <v>37</v>
      </c>
      <c r="AG14">
        <v>1892.44</v>
      </c>
      <c r="AH14">
        <v>2275.89</v>
      </c>
      <c r="AI14" s="6">
        <f>Table1[[#This Row],[Smax]]-Table1[[#This Row],[Smin]]</f>
        <v>383.44999999999982</v>
      </c>
      <c r="AJ14" s="6">
        <f>AVERAGE(Table1[[#This Row],[Smin]:[Smax]])</f>
        <v>2084.165</v>
      </c>
      <c r="AL14" s="6"/>
    </row>
    <row r="15" spans="1:1031" ht="12.75" customHeight="1">
      <c r="A15">
        <v>2</v>
      </c>
      <c r="B15" t="s">
        <v>164</v>
      </c>
      <c r="C15" t="s">
        <v>89</v>
      </c>
      <c r="D15" s="15">
        <v>98.9</v>
      </c>
      <c r="E15" s="15">
        <v>38</v>
      </c>
      <c r="F15" s="15">
        <v>33</v>
      </c>
      <c r="G15" s="15">
        <v>46</v>
      </c>
      <c r="H15" s="15">
        <v>117</v>
      </c>
      <c r="I15">
        <v>2.9000000000000021</v>
      </c>
      <c r="J15">
        <v>-34</v>
      </c>
      <c r="K15">
        <v>0.3</v>
      </c>
      <c r="M15" s="6">
        <f>ABS(D15-H15)</f>
        <v>18.099999999999994</v>
      </c>
      <c r="O15" t="s">
        <v>87</v>
      </c>
      <c r="P15">
        <v>804.57</v>
      </c>
      <c r="Q15">
        <v>2843.74</v>
      </c>
      <c r="R15" s="4">
        <f>Table1[[#This Row],[max]]-Table1[[#This Row],[min]]</f>
        <v>2039.1699999999996</v>
      </c>
      <c r="S15" s="4">
        <f>VLOOKUP(Table1[[#This Row],[finger]],fingerMaxMin[],3)-Table1[[#This Row],[max]]</f>
        <v>231.26000000000022</v>
      </c>
      <c r="T15" s="7">
        <f>P15/scale</f>
        <v>43.307675745505442</v>
      </c>
      <c r="U15" s="7">
        <f>Q15/scale</f>
        <v>153.0702982021746</v>
      </c>
      <c r="V15" s="28">
        <f>Table1[[#This Row],[scaled max]]-Table1[[#This Row],[scaled min]]</f>
        <v>109.76262245666916</v>
      </c>
      <c r="W15" s="28">
        <f>(VLOOKUP(Table1[[#This Row],[finger]],fingerMaxMin[],3)/scale)-T15</f>
        <v>122.21067929809453</v>
      </c>
      <c r="X15" s="8">
        <f>SIN(RADIANS(T15))</f>
        <v>0.68591584432887054</v>
      </c>
      <c r="Y15" s="8">
        <f>SIN(RADIANS(U15))</f>
        <v>0.45289695113555578</v>
      </c>
      <c r="AA15">
        <f>COS(RADIANS(T15))</f>
        <v>0.72768087407778737</v>
      </c>
      <c r="AB15">
        <f>COS(RADIANS(U15))</f>
        <v>-0.89156287027450731</v>
      </c>
      <c r="AD15" s="1">
        <f>P15/Q15</f>
        <v>0.28292670919282359</v>
      </c>
      <c r="AF15" t="s">
        <v>87</v>
      </c>
      <c r="AG15">
        <v>1887.36</v>
      </c>
      <c r="AH15">
        <v>2172.73</v>
      </c>
      <c r="AI15" s="6">
        <f>Table1[[#This Row],[Smax]]-Table1[[#This Row],[Smin]]</f>
        <v>285.37000000000012</v>
      </c>
      <c r="AJ15" s="6">
        <f>AVERAGE(Table1[[#This Row],[Smin]:[Smax]])</f>
        <v>2030.0450000000001</v>
      </c>
      <c r="AL15" s="6"/>
    </row>
    <row r="16" spans="1:1031" ht="12.75" customHeight="1">
      <c r="A16">
        <v>2</v>
      </c>
      <c r="B16" t="s">
        <v>164</v>
      </c>
      <c r="C16" s="6" t="s">
        <v>20</v>
      </c>
      <c r="D16" s="16">
        <v>110.8</v>
      </c>
      <c r="E16" s="16">
        <v>48</v>
      </c>
      <c r="F16" s="16">
        <v>33</v>
      </c>
      <c r="G16" s="16">
        <v>36</v>
      </c>
      <c r="H16" s="16">
        <v>117</v>
      </c>
      <c r="I16" s="5">
        <v>1.1000000000000001</v>
      </c>
      <c r="J16" s="5">
        <v>0</v>
      </c>
      <c r="K16" s="5">
        <v>0.5</v>
      </c>
      <c r="M16" s="6">
        <f>ABS(D16-H16)</f>
        <v>6.2000000000000028</v>
      </c>
      <c r="O16" s="6" t="s">
        <v>21</v>
      </c>
      <c r="P16" s="4">
        <v>931.97</v>
      </c>
      <c r="Q16" s="4">
        <v>3075.1</v>
      </c>
      <c r="R16" s="4">
        <f>Table1[[#This Row],[max]]-Table1[[#This Row],[min]]</f>
        <v>2143.13</v>
      </c>
      <c r="S16" s="4">
        <f>VLOOKUP(Table1[[#This Row],[finger]],fingerMaxMin[],3)-Table1[[#This Row],[max]]</f>
        <v>-9.9999999999909051E-2</v>
      </c>
      <c r="T16" s="7">
        <f>P16/scale</f>
        <v>50.165249219506947</v>
      </c>
      <c r="U16" s="7">
        <f>Q16/scale</f>
        <v>165.52373775433307</v>
      </c>
      <c r="V16" s="28">
        <f>Table1[[#This Row],[scaled max]]-Table1[[#This Row],[scaled min]]</f>
        <v>115.35848853482612</v>
      </c>
      <c r="W16" s="28">
        <f>(VLOOKUP(Table1[[#This Row],[finger]],fingerMaxMin[],3)/scale)-T16</f>
        <v>115.35310582409302</v>
      </c>
      <c r="X16" s="8">
        <f>SIN(RADIANS(T16))</f>
        <v>0.76789514582824403</v>
      </c>
      <c r="Y16" s="8">
        <f>SIN(RADIANS(U16))</f>
        <v>0.24997887710274144</v>
      </c>
      <c r="AA16">
        <f>COS(RADIANS(T16))</f>
        <v>0.64057555761472806</v>
      </c>
      <c r="AB16">
        <f>COS(RADIANS(U16))</f>
        <v>-0.96825129021471101</v>
      </c>
      <c r="AD16" s="1">
        <f>P16/Q16</f>
        <v>0.30306981886767914</v>
      </c>
      <c r="AF16" t="s">
        <v>21</v>
      </c>
      <c r="AG16">
        <v>1889.28</v>
      </c>
      <c r="AH16">
        <v>2307.36</v>
      </c>
      <c r="AI16" s="6">
        <f>Table1[[#This Row],[Smax]]-Table1[[#This Row],[Smin]]</f>
        <v>418.08000000000015</v>
      </c>
      <c r="AJ16" s="6">
        <f>AVERAGE(Table1[[#This Row],[Smin]:[Smax]])</f>
        <v>2098.3200000000002</v>
      </c>
      <c r="AL16" s="6"/>
    </row>
    <row r="17" spans="1:1031" ht="12.75" customHeight="1">
      <c r="A17">
        <v>2</v>
      </c>
      <c r="B17" t="s">
        <v>164</v>
      </c>
      <c r="C17" s="6" t="s">
        <v>26</v>
      </c>
      <c r="D17" s="16">
        <v>114.9</v>
      </c>
      <c r="E17" s="16">
        <v>42</v>
      </c>
      <c r="F17" s="16">
        <v>34</v>
      </c>
      <c r="G17" s="16">
        <v>45</v>
      </c>
      <c r="H17" s="16">
        <v>121</v>
      </c>
      <c r="I17" s="5">
        <v>1.1000000000000001</v>
      </c>
      <c r="J17" s="5">
        <v>0</v>
      </c>
      <c r="K17" s="5">
        <v>0.6</v>
      </c>
      <c r="M17" s="6">
        <f>ABS(D17-H17)</f>
        <v>6.0999999999999943</v>
      </c>
      <c r="O17" s="6" t="s">
        <v>27</v>
      </c>
      <c r="P17" s="4">
        <v>805.2</v>
      </c>
      <c r="Q17" s="4">
        <v>2887.04</v>
      </c>
      <c r="R17" s="4">
        <f>Table1[[#This Row],[max]]-Table1[[#This Row],[min]]</f>
        <v>2081.84</v>
      </c>
      <c r="S17" s="4">
        <f>VLOOKUP(Table1[[#This Row],[finger]],fingerMaxMin[],3)-Table1[[#This Row],[max]]</f>
        <v>187.96000000000004</v>
      </c>
      <c r="T17" s="7">
        <f>P17/scale</f>
        <v>43.341586823124132</v>
      </c>
      <c r="U17" s="7">
        <f>Q17/scale</f>
        <v>155.40101194961784</v>
      </c>
      <c r="V17" s="28">
        <f>Table1[[#This Row],[scaled max]]-Table1[[#This Row],[scaled min]]</f>
        <v>112.05942512649371</v>
      </c>
      <c r="W17" s="28">
        <f>(VLOOKUP(Table1[[#This Row],[finger]],fingerMaxMin[],3)/scale)-T17</f>
        <v>122.17676822047584</v>
      </c>
      <c r="X17" s="8">
        <f>SIN(RADIANS(T17))</f>
        <v>0.6863464093372762</v>
      </c>
      <c r="Y17" s="8">
        <f>SIN(RADIANS(U17))</f>
        <v>0.41626473340125114</v>
      </c>
      <c r="AA17">
        <f>COS(RADIANS(T17))</f>
        <v>0.7272747805264721</v>
      </c>
      <c r="AB17">
        <f>COS(RADIANS(U17))</f>
        <v>-0.90924346119528698</v>
      </c>
      <c r="AD17" s="1">
        <f>P17/Q17</f>
        <v>0.27890157393039239</v>
      </c>
      <c r="AF17" t="s">
        <v>27</v>
      </c>
      <c r="AG17">
        <v>1891.63</v>
      </c>
      <c r="AH17">
        <v>2094.66</v>
      </c>
      <c r="AI17" s="6">
        <f>Table1[[#This Row],[Smax]]-Table1[[#This Row],[Smin]]</f>
        <v>203.02999999999975</v>
      </c>
      <c r="AJ17" s="6">
        <f>AVERAGE(Table1[[#This Row],[Smin]:[Smax]])</f>
        <v>1993.145</v>
      </c>
      <c r="AL17" s="6"/>
    </row>
    <row r="18" spans="1:1031" ht="12.75" customHeight="1">
      <c r="A18">
        <v>3</v>
      </c>
      <c r="B18" t="s">
        <v>164</v>
      </c>
      <c r="C18" s="6" t="s">
        <v>24</v>
      </c>
      <c r="D18" s="16">
        <v>109.2</v>
      </c>
      <c r="E18" s="16">
        <v>35</v>
      </c>
      <c r="F18" s="16">
        <v>34</v>
      </c>
      <c r="G18" s="16">
        <v>36</v>
      </c>
      <c r="H18" s="16">
        <v>105</v>
      </c>
      <c r="I18" s="5">
        <v>1.1000000000000001</v>
      </c>
      <c r="J18" s="5">
        <v>0</v>
      </c>
      <c r="K18" s="5">
        <v>0.6</v>
      </c>
      <c r="M18" s="6">
        <f>ABS(D18-H18)</f>
        <v>4.2000000000000028</v>
      </c>
      <c r="O18" s="6" t="s">
        <v>25</v>
      </c>
      <c r="P18" s="4">
        <v>767.7</v>
      </c>
      <c r="Q18" s="4">
        <v>3005.85</v>
      </c>
      <c r="R18" s="4">
        <f>Table1[[#This Row],[max]]-Table1[[#This Row],[min]]</f>
        <v>2238.1499999999996</v>
      </c>
      <c r="S18" s="4">
        <f>VLOOKUP(Table1[[#This Row],[finger]],fingerMaxMin[],3)-Table1[[#This Row],[max]]</f>
        <v>2.1500000000000909</v>
      </c>
      <c r="T18" s="7">
        <f>P18/scale</f>
        <v>41.323070298202175</v>
      </c>
      <c r="U18" s="7">
        <f>Q18/scale</f>
        <v>161.79621057164388</v>
      </c>
      <c r="V18" s="28">
        <f>Table1[[#This Row],[scaled max]]-Table1[[#This Row],[scaled min]]</f>
        <v>120.47314027344171</v>
      </c>
      <c r="W18" s="28">
        <f>(VLOOKUP(Table1[[#This Row],[finger]],fingerMaxMin[],3)/scale)-T18</f>
        <v>120.58886855420391</v>
      </c>
      <c r="X18" s="8">
        <f>SIN(RADIANS(T18))</f>
        <v>0.66030411295400837</v>
      </c>
      <c r="Y18" s="8">
        <f>SIN(RADIANS(U18))</f>
        <v>0.31239774708212092</v>
      </c>
      <c r="AA18">
        <f>COS(RADIANS(T18))</f>
        <v>0.75099832118056031</v>
      </c>
      <c r="AB18">
        <f>COS(RADIANS(U18))</f>
        <v>-0.94995139223963199</v>
      </c>
      <c r="AD18" s="1">
        <f>P18/Q18</f>
        <v>0.25540196616597638</v>
      </c>
      <c r="AF18" t="s">
        <v>25</v>
      </c>
      <c r="AG18">
        <v>1946.01</v>
      </c>
      <c r="AH18">
        <v>2122.3200000000002</v>
      </c>
      <c r="AI18" s="6">
        <f>Table1[[#This Row],[Smax]]-Table1[[#This Row],[Smin]]</f>
        <v>176.31000000000017</v>
      </c>
      <c r="AJ18" s="6">
        <f>AVERAGE(Table1[[#This Row],[Smin]:[Smax]])</f>
        <v>2034.165</v>
      </c>
      <c r="AL18" s="6"/>
    </row>
    <row r="19" spans="1:1031" ht="12.75" customHeight="1">
      <c r="A19">
        <v>3</v>
      </c>
      <c r="B19" t="s">
        <v>56</v>
      </c>
      <c r="C19" s="6" t="s">
        <v>34</v>
      </c>
      <c r="D19" s="4">
        <v>112.5</v>
      </c>
      <c r="E19" s="4">
        <v>35</v>
      </c>
      <c r="F19" s="4">
        <v>35</v>
      </c>
      <c r="G19" s="4">
        <v>40</v>
      </c>
      <c r="H19" s="4">
        <v>110</v>
      </c>
      <c r="I19" s="5">
        <v>1.1000000000000001</v>
      </c>
      <c r="J19" s="5">
        <v>0</v>
      </c>
      <c r="K19" s="5">
        <v>0.6</v>
      </c>
      <c r="M19" s="6">
        <f>ABS(D19-H19)</f>
        <v>2.5</v>
      </c>
      <c r="O19" s="6" t="s">
        <v>35</v>
      </c>
      <c r="P19" s="4">
        <v>1000.92</v>
      </c>
      <c r="Q19" s="4">
        <v>3013.76</v>
      </c>
      <c r="R19" s="4">
        <f>Table1[[#This Row],[max]]-Table1[[#This Row],[min]]</f>
        <v>2012.8400000000001</v>
      </c>
      <c r="S19" s="4">
        <f>VLOOKUP(Table1[[#This Row],[finger]],fingerMaxMin[],3)-Table1[[#This Row],[max]]</f>
        <v>-5.7600000000002183</v>
      </c>
      <c r="T19" s="7">
        <f>P19/scale</f>
        <v>53.876628269996772</v>
      </c>
      <c r="U19" s="7">
        <f>Q19/scale</f>
        <v>162.2219829906341</v>
      </c>
      <c r="V19" s="28">
        <f>Table1[[#This Row],[scaled max]]-Table1[[#This Row],[scaled min]]</f>
        <v>108.34535472063733</v>
      </c>
      <c r="W19" s="28">
        <f>(VLOOKUP(Table1[[#This Row],[finger]],fingerMaxMin[],3)/scale)-T19</f>
        <v>108.03531058240931</v>
      </c>
      <c r="X19" s="8">
        <f>SIN(RADIANS(T19))</f>
        <v>0.8077494754514849</v>
      </c>
      <c r="Y19" s="8">
        <f>SIN(RADIANS(U19))</f>
        <v>0.30532997368816789</v>
      </c>
      <c r="AA19">
        <f>COS(RADIANS(T19))</f>
        <v>0.58952589841995162</v>
      </c>
      <c r="AB19">
        <f>COS(RADIANS(U19))</f>
        <v>-0.9522466104783901</v>
      </c>
      <c r="AD19" s="1">
        <f>P19/Q19</f>
        <v>0.33211669144191969</v>
      </c>
      <c r="AF19" t="s">
        <v>35</v>
      </c>
      <c r="AG19">
        <v>1708.81</v>
      </c>
      <c r="AH19">
        <v>2071.5300000000002</v>
      </c>
      <c r="AI19" s="6">
        <f>Table1[[#This Row],[Smax]]-Table1[[#This Row],[Smin]]</f>
        <v>362.72000000000025</v>
      </c>
      <c r="AJ19" s="6">
        <f>AVERAGE(Table1[[#This Row],[Smin]:[Smax]])</f>
        <v>1890.17</v>
      </c>
      <c r="AL19" s="6"/>
    </row>
    <row r="20" spans="1:1031" ht="12.75" customHeight="1">
      <c r="A20">
        <v>3</v>
      </c>
      <c r="B20" t="s">
        <v>56</v>
      </c>
      <c r="C20" s="6" t="s">
        <v>32</v>
      </c>
      <c r="D20" s="4">
        <v>113.5</v>
      </c>
      <c r="E20" s="4">
        <v>38</v>
      </c>
      <c r="F20" s="4">
        <v>34</v>
      </c>
      <c r="G20" s="4">
        <v>40</v>
      </c>
      <c r="H20" s="4">
        <v>112</v>
      </c>
      <c r="I20" s="5">
        <v>1.1000000000000001</v>
      </c>
      <c r="J20" s="5">
        <v>0</v>
      </c>
      <c r="K20" s="5">
        <v>0.5</v>
      </c>
      <c r="M20" s="6">
        <f>ABS(D20-H20)</f>
        <v>1.5</v>
      </c>
      <c r="O20" s="6" t="s">
        <v>33</v>
      </c>
      <c r="P20" s="4">
        <v>996.97</v>
      </c>
      <c r="Q20" s="4">
        <v>3011.86</v>
      </c>
      <c r="R20" s="4">
        <f>Table1[[#This Row],[max]]-Table1[[#This Row],[min]]</f>
        <v>2014.89</v>
      </c>
      <c r="S20" s="4">
        <f>VLOOKUP(Table1[[#This Row],[finger]],fingerMaxMin[],3)-Table1[[#This Row],[max]]</f>
        <v>-3.8600000000001273</v>
      </c>
      <c r="T20" s="7">
        <f>P20/scale</f>
        <v>53.664011196038331</v>
      </c>
      <c r="U20" s="7">
        <f>Q20/scale</f>
        <v>162.11971148670472</v>
      </c>
      <c r="V20" s="28">
        <f>Table1[[#This Row],[scaled max]]-Table1[[#This Row],[scaled min]]</f>
        <v>108.45570029066639</v>
      </c>
      <c r="W20" s="28">
        <f>(VLOOKUP(Table1[[#This Row],[finger]],fingerMaxMin[],3)/scale)-T20</f>
        <v>108.24792765636775</v>
      </c>
      <c r="X20" s="8">
        <f>SIN(RADIANS(T20))</f>
        <v>0.80555626612132547</v>
      </c>
      <c r="Y20" s="8">
        <f>SIN(RADIANS(U20))</f>
        <v>0.30702922226777862</v>
      </c>
      <c r="AA20">
        <f>COS(RADIANS(T20))</f>
        <v>0.59251928416944222</v>
      </c>
      <c r="AB20">
        <f>COS(RADIANS(U20))</f>
        <v>-0.95170008756626845</v>
      </c>
      <c r="AD20" s="1">
        <f>P20/Q20</f>
        <v>0.33101472179981806</v>
      </c>
      <c r="AF20" t="s">
        <v>33</v>
      </c>
      <c r="AG20">
        <v>1756.06</v>
      </c>
      <c r="AH20">
        <v>2175</v>
      </c>
      <c r="AI20" s="6">
        <f>Table1[[#This Row],[Smax]]-Table1[[#This Row],[Smin]]</f>
        <v>418.94000000000005</v>
      </c>
      <c r="AJ20" s="6">
        <f>AVERAGE(Table1[[#This Row],[Smin]:[Smax]])</f>
        <v>1965.53</v>
      </c>
      <c r="AL20" s="6"/>
    </row>
    <row r="21" spans="1:1031" ht="12.75" customHeight="1">
      <c r="A21">
        <v>3</v>
      </c>
      <c r="B21" t="s">
        <v>56</v>
      </c>
      <c r="C21" s="6" t="s">
        <v>38</v>
      </c>
      <c r="D21" s="4">
        <v>112.7</v>
      </c>
      <c r="E21" s="4">
        <v>40</v>
      </c>
      <c r="F21" s="4">
        <v>32</v>
      </c>
      <c r="G21" s="4">
        <v>41</v>
      </c>
      <c r="H21" s="4">
        <v>113</v>
      </c>
      <c r="I21" s="5">
        <v>1.1000000000000001</v>
      </c>
      <c r="J21" s="5">
        <v>0</v>
      </c>
      <c r="K21" s="5">
        <v>0.5</v>
      </c>
      <c r="L21" s="6"/>
      <c r="M21" s="6">
        <f>ABS(D21-H21)</f>
        <v>0.29999999999999716</v>
      </c>
      <c r="N21" s="6"/>
      <c r="O21" s="6" t="s">
        <v>39</v>
      </c>
      <c r="P21" s="4">
        <v>937.82</v>
      </c>
      <c r="Q21" s="4">
        <v>3013.78</v>
      </c>
      <c r="R21" s="4">
        <f>Table1[[#This Row],[max]]-Table1[[#This Row],[min]]</f>
        <v>2075.96</v>
      </c>
      <c r="S21" s="4">
        <f>VLOOKUP(Table1[[#This Row],[finger]],fingerMaxMin[],3)-Table1[[#This Row],[max]]</f>
        <v>-5.7800000000002001</v>
      </c>
      <c r="T21" s="7">
        <f>P21/scale</f>
        <v>50.480137797394775</v>
      </c>
      <c r="U21" s="7">
        <f>Q21/scale</f>
        <v>162.22305953278072</v>
      </c>
      <c r="V21" s="28">
        <f>Table1[[#This Row],[scaled max]]-Table1[[#This Row],[scaled min]]</f>
        <v>111.74292173538595</v>
      </c>
      <c r="W21" s="28">
        <f>(VLOOKUP(Table1[[#This Row],[finger]],fingerMaxMin[],3)/scale)-T21</f>
        <v>111.43180105501131</v>
      </c>
      <c r="X21" s="8">
        <f>SIN(RADIANS(T21))</f>
        <v>0.77140403362247378</v>
      </c>
      <c r="Y21" s="8">
        <f>SIN(RADIANS(U21))</f>
        <v>0.3053120816775029</v>
      </c>
      <c r="Z21" s="6"/>
      <c r="AA21">
        <f>COS(RADIANS(T21))</f>
        <v>0.63634567407265163</v>
      </c>
      <c r="AB21">
        <f>COS(RADIANS(U21))</f>
        <v>-0.95225234721776864</v>
      </c>
      <c r="AC21" s="6"/>
      <c r="AD21" s="6">
        <f>P21/Q21</f>
        <v>0.31117732548493915</v>
      </c>
      <c r="AF21" t="s">
        <v>39</v>
      </c>
      <c r="AG21">
        <v>1863.92</v>
      </c>
      <c r="AH21">
        <v>2191.7399999999998</v>
      </c>
      <c r="AI21" s="6">
        <f>Table1[[#This Row],[Smax]]-Table1[[#This Row],[Smin]]</f>
        <v>327.81999999999971</v>
      </c>
      <c r="AJ21" s="6">
        <f>AVERAGE(Table1[[#This Row],[Smin]:[Smax]])</f>
        <v>2027.83</v>
      </c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  <c r="FS21" s="6"/>
      <c r="FT21" s="6"/>
      <c r="FU21" s="6"/>
      <c r="FV21" s="6"/>
      <c r="FW21" s="6"/>
      <c r="FX21" s="6"/>
      <c r="FY21" s="6"/>
      <c r="FZ21" s="6"/>
      <c r="GA21" s="6"/>
      <c r="GB21" s="6"/>
      <c r="GC21" s="6"/>
      <c r="GD21" s="6"/>
      <c r="GE21" s="6"/>
      <c r="GF21" s="6"/>
      <c r="GG21" s="6"/>
      <c r="GH21" s="6"/>
      <c r="GI21" s="6"/>
      <c r="GJ21" s="6"/>
      <c r="GK21" s="6"/>
      <c r="GL21" s="6"/>
      <c r="GM21" s="6"/>
      <c r="GN21" s="6"/>
      <c r="GO21" s="6"/>
      <c r="GP21" s="6"/>
      <c r="GQ21" s="6"/>
      <c r="GR21" s="6"/>
      <c r="GS21" s="6"/>
      <c r="GT21" s="6"/>
      <c r="GU21" s="6"/>
      <c r="GV21" s="6"/>
      <c r="GW21" s="6"/>
      <c r="GX21" s="6"/>
      <c r="GY21" s="6"/>
      <c r="GZ21" s="6"/>
      <c r="HA21" s="6"/>
      <c r="HB21" s="6"/>
      <c r="HC21" s="6"/>
      <c r="HD21" s="6"/>
      <c r="HE21" s="6"/>
      <c r="HF21" s="6"/>
      <c r="HG21" s="6"/>
      <c r="HH21" s="6"/>
      <c r="HI21" s="6"/>
      <c r="HJ21" s="6"/>
      <c r="HK21" s="6"/>
      <c r="HL21" s="6"/>
      <c r="HM21" s="6"/>
      <c r="HN21" s="6"/>
      <c r="HO21" s="6"/>
      <c r="HP21" s="6"/>
      <c r="HQ21" s="6"/>
      <c r="HR21" s="6"/>
      <c r="HS21" s="6"/>
      <c r="HT21" s="6"/>
      <c r="HU21" s="6"/>
      <c r="HV21" s="6"/>
      <c r="HW21" s="6"/>
      <c r="HX21" s="6"/>
      <c r="HY21" s="6"/>
      <c r="HZ21" s="6"/>
      <c r="IA21" s="6"/>
      <c r="IB21" s="6"/>
      <c r="IC21" s="6"/>
      <c r="ID21" s="6"/>
      <c r="IE21" s="6"/>
      <c r="IF21" s="6"/>
      <c r="IG21" s="6"/>
      <c r="IH21" s="6"/>
      <c r="II21" s="6"/>
      <c r="IJ21" s="6"/>
      <c r="IK21" s="6"/>
      <c r="IL21" s="6"/>
      <c r="IM21" s="6"/>
      <c r="IN21" s="6"/>
      <c r="IO21" s="6"/>
      <c r="IP21" s="6"/>
      <c r="IQ21" s="6"/>
      <c r="IR21" s="6"/>
      <c r="IS21" s="6"/>
      <c r="IT21" s="6"/>
      <c r="IU21" s="6"/>
      <c r="IV21" s="6"/>
      <c r="IW21" s="6"/>
      <c r="IX21" s="6"/>
      <c r="IY21" s="6"/>
      <c r="IZ21" s="6"/>
      <c r="JA21" s="6"/>
      <c r="JB21" s="6"/>
      <c r="JC21" s="6"/>
      <c r="JD21" s="6"/>
      <c r="JE21" s="6"/>
      <c r="JF21" s="6"/>
      <c r="JG21" s="6"/>
      <c r="JH21" s="6"/>
      <c r="JI21" s="6"/>
      <c r="JJ21" s="6"/>
      <c r="JK21" s="6"/>
      <c r="JL21" s="6"/>
      <c r="JM21" s="6"/>
      <c r="JN21" s="6"/>
      <c r="JO21" s="6"/>
      <c r="JP21" s="6"/>
      <c r="JQ21" s="6"/>
      <c r="JR21" s="6"/>
      <c r="JS21" s="6"/>
      <c r="JT21" s="6"/>
      <c r="JU21" s="6"/>
      <c r="JV21" s="6"/>
      <c r="JW21" s="6"/>
      <c r="JX21" s="6"/>
      <c r="JY21" s="6"/>
      <c r="JZ21" s="6"/>
      <c r="KA21" s="6"/>
      <c r="KB21" s="6"/>
      <c r="KC21" s="6"/>
      <c r="KD21" s="6"/>
      <c r="KE21" s="6"/>
      <c r="KF21" s="6"/>
      <c r="KG21" s="6"/>
      <c r="KH21" s="6"/>
      <c r="KI21" s="6"/>
      <c r="KJ21" s="6"/>
      <c r="KK21" s="6"/>
      <c r="KL21" s="6"/>
      <c r="KM21" s="6"/>
      <c r="KN21" s="6"/>
      <c r="KO21" s="6"/>
      <c r="KP21" s="6"/>
      <c r="KQ21" s="6"/>
      <c r="KR21" s="6"/>
      <c r="KS21" s="6"/>
      <c r="KT21" s="6"/>
      <c r="KU21" s="6"/>
      <c r="KV21" s="6"/>
      <c r="KW21" s="6"/>
      <c r="KX21" s="6"/>
      <c r="KY21" s="6"/>
      <c r="KZ21" s="6"/>
      <c r="LA21" s="6"/>
      <c r="LB21" s="6"/>
      <c r="LC21" s="6"/>
      <c r="LD21" s="6"/>
      <c r="LE21" s="6"/>
      <c r="LF21" s="6"/>
      <c r="LG21" s="6"/>
      <c r="LH21" s="6"/>
      <c r="LI21" s="6"/>
      <c r="LJ21" s="6"/>
      <c r="LK21" s="6"/>
      <c r="LL21" s="6"/>
      <c r="LM21" s="6"/>
      <c r="LN21" s="6"/>
      <c r="LO21" s="6"/>
      <c r="LP21" s="6"/>
      <c r="LQ21" s="6"/>
      <c r="LR21" s="6"/>
      <c r="LS21" s="6"/>
      <c r="LT21" s="6"/>
      <c r="LU21" s="6"/>
      <c r="LV21" s="6"/>
      <c r="LW21" s="6"/>
      <c r="LX21" s="6"/>
      <c r="LY21" s="6"/>
      <c r="LZ21" s="6"/>
      <c r="MA21" s="6"/>
      <c r="MB21" s="6"/>
      <c r="MC21" s="6"/>
      <c r="MD21" s="6"/>
      <c r="ME21" s="6"/>
      <c r="MF21" s="6"/>
      <c r="MG21" s="6"/>
      <c r="MH21" s="6"/>
      <c r="MI21" s="6"/>
      <c r="MJ21" s="6"/>
      <c r="MK21" s="6"/>
      <c r="ML21" s="6"/>
      <c r="MM21" s="6"/>
      <c r="MN21" s="6"/>
      <c r="MO21" s="6"/>
      <c r="MP21" s="6"/>
      <c r="MQ21" s="6"/>
      <c r="MR21" s="6"/>
      <c r="MS21" s="6"/>
      <c r="MT21" s="6"/>
      <c r="MU21" s="6"/>
      <c r="MV21" s="6"/>
      <c r="MW21" s="6"/>
      <c r="MX21" s="6"/>
      <c r="MY21" s="6"/>
      <c r="MZ21" s="6"/>
      <c r="NA21" s="6"/>
      <c r="NB21" s="6"/>
      <c r="NC21" s="6"/>
      <c r="ND21" s="6"/>
      <c r="NE21" s="6"/>
      <c r="NF21" s="6"/>
      <c r="NG21" s="6"/>
      <c r="NH21" s="6"/>
      <c r="NI21" s="6"/>
      <c r="NJ21" s="6"/>
      <c r="NK21" s="6"/>
      <c r="NL21" s="6"/>
      <c r="NM21" s="6"/>
      <c r="NN21" s="6"/>
      <c r="NO21" s="6"/>
      <c r="NP21" s="6"/>
      <c r="NQ21" s="6"/>
      <c r="NR21" s="6"/>
      <c r="NS21" s="6"/>
      <c r="NT21" s="6"/>
      <c r="NU21" s="6"/>
      <c r="NV21" s="6"/>
      <c r="NW21" s="6"/>
      <c r="NX21" s="6"/>
      <c r="NY21" s="6"/>
      <c r="NZ21" s="6"/>
      <c r="OA21" s="6"/>
      <c r="OB21" s="6"/>
      <c r="OC21" s="6"/>
      <c r="OD21" s="6"/>
      <c r="OE21" s="6"/>
      <c r="OF21" s="6"/>
      <c r="OG21" s="6"/>
      <c r="OH21" s="6"/>
      <c r="OI21" s="6"/>
      <c r="OJ21" s="6"/>
      <c r="OK21" s="6"/>
      <c r="OL21" s="6"/>
      <c r="OM21" s="6"/>
      <c r="ON21" s="6"/>
      <c r="OO21" s="6"/>
      <c r="OP21" s="6"/>
      <c r="OQ21" s="6"/>
      <c r="OR21" s="6"/>
      <c r="OS21" s="6"/>
      <c r="OT21" s="6"/>
      <c r="OU21" s="6"/>
      <c r="OV21" s="6"/>
      <c r="OW21" s="6"/>
      <c r="OX21" s="6"/>
      <c r="OY21" s="6"/>
      <c r="OZ21" s="6"/>
      <c r="PA21" s="6"/>
      <c r="PB21" s="6"/>
      <c r="PC21" s="6"/>
      <c r="PD21" s="6"/>
      <c r="PE21" s="6"/>
      <c r="PF21" s="6"/>
      <c r="PG21" s="6"/>
      <c r="PH21" s="6"/>
      <c r="PI21" s="6"/>
      <c r="PJ21" s="6"/>
      <c r="PK21" s="6"/>
      <c r="PL21" s="6"/>
      <c r="PM21" s="6"/>
      <c r="PN21" s="6"/>
      <c r="PO21" s="6"/>
      <c r="PP21" s="6"/>
      <c r="PQ21" s="6"/>
      <c r="PR21" s="6"/>
      <c r="PS21" s="6"/>
      <c r="PT21" s="6"/>
      <c r="PU21" s="6"/>
      <c r="PV21" s="6"/>
      <c r="PW21" s="6"/>
      <c r="PX21" s="6"/>
      <c r="PY21" s="6"/>
      <c r="PZ21" s="6"/>
      <c r="QA21" s="6"/>
      <c r="QB21" s="6"/>
      <c r="QC21" s="6"/>
      <c r="QD21" s="6"/>
      <c r="QE21" s="6"/>
      <c r="QF21" s="6"/>
      <c r="QG21" s="6"/>
      <c r="QH21" s="6"/>
      <c r="QI21" s="6"/>
      <c r="QJ21" s="6"/>
      <c r="QK21" s="6"/>
      <c r="QL21" s="6"/>
      <c r="QM21" s="6"/>
      <c r="QN21" s="6"/>
      <c r="QO21" s="6"/>
      <c r="QP21" s="6"/>
      <c r="QQ21" s="6"/>
      <c r="QR21" s="6"/>
      <c r="QS21" s="6"/>
      <c r="QT21" s="6"/>
      <c r="QU21" s="6"/>
      <c r="QV21" s="6"/>
      <c r="QW21" s="6"/>
      <c r="QX21" s="6"/>
      <c r="QY21" s="6"/>
      <c r="QZ21" s="6"/>
      <c r="RA21" s="6"/>
      <c r="RB21" s="6"/>
      <c r="RC21" s="6"/>
      <c r="RD21" s="6"/>
      <c r="RE21" s="6"/>
      <c r="RF21" s="6"/>
      <c r="RG21" s="6"/>
      <c r="RH21" s="6"/>
      <c r="RI21" s="6"/>
      <c r="RJ21" s="6"/>
      <c r="RK21" s="6"/>
      <c r="RL21" s="6"/>
      <c r="RM21" s="6"/>
      <c r="RN21" s="6"/>
      <c r="RO21" s="6"/>
      <c r="RP21" s="6"/>
      <c r="RQ21" s="6"/>
      <c r="RR21" s="6"/>
      <c r="RS21" s="6"/>
      <c r="RT21" s="6"/>
      <c r="RU21" s="6"/>
      <c r="RV21" s="6"/>
      <c r="RW21" s="6"/>
      <c r="RX21" s="6"/>
      <c r="RY21" s="6"/>
      <c r="RZ21" s="6"/>
      <c r="SA21" s="6"/>
      <c r="SB21" s="6"/>
      <c r="SC21" s="6"/>
      <c r="SD21" s="6"/>
      <c r="SE21" s="6"/>
      <c r="SF21" s="6"/>
      <c r="SG21" s="6"/>
      <c r="SH21" s="6"/>
      <c r="SI21" s="6"/>
      <c r="SJ21" s="6"/>
      <c r="SK21" s="6"/>
      <c r="SL21" s="6"/>
      <c r="SM21" s="6"/>
      <c r="SN21" s="6"/>
      <c r="SO21" s="6"/>
      <c r="SP21" s="6"/>
      <c r="SQ21" s="6"/>
      <c r="SR21" s="6"/>
      <c r="SS21" s="6"/>
      <c r="ST21" s="6"/>
      <c r="SU21" s="6"/>
      <c r="SV21" s="6"/>
      <c r="SW21" s="6"/>
      <c r="SX21" s="6"/>
      <c r="SY21" s="6"/>
      <c r="SZ21" s="6"/>
      <c r="TA21" s="6"/>
      <c r="TB21" s="6"/>
      <c r="TC21" s="6"/>
      <c r="TD21" s="6"/>
      <c r="TE21" s="6"/>
      <c r="TF21" s="6"/>
      <c r="TG21" s="6"/>
      <c r="TH21" s="6"/>
      <c r="TI21" s="6"/>
      <c r="TJ21" s="6"/>
      <c r="TK21" s="6"/>
      <c r="TL21" s="6"/>
      <c r="TM21" s="6"/>
      <c r="TN21" s="6"/>
      <c r="TO21" s="6"/>
      <c r="TP21" s="6"/>
      <c r="TQ21" s="6"/>
      <c r="TR21" s="6"/>
      <c r="TS21" s="6"/>
      <c r="TT21" s="6"/>
      <c r="TU21" s="6"/>
      <c r="TV21" s="6"/>
      <c r="TW21" s="6"/>
      <c r="TX21" s="6"/>
      <c r="TY21" s="6"/>
      <c r="TZ21" s="6"/>
      <c r="UA21" s="6"/>
      <c r="UB21" s="6"/>
      <c r="UC21" s="6"/>
      <c r="UD21" s="6"/>
      <c r="UE21" s="6"/>
      <c r="UF21" s="6"/>
      <c r="UG21" s="6"/>
      <c r="UH21" s="6"/>
      <c r="UI21" s="6"/>
      <c r="UJ21" s="6"/>
      <c r="UK21" s="6"/>
      <c r="UL21" s="6"/>
      <c r="UM21" s="6"/>
      <c r="UN21" s="6"/>
      <c r="UO21" s="6"/>
      <c r="UP21" s="6"/>
      <c r="UQ21" s="6"/>
      <c r="UR21" s="6"/>
      <c r="US21" s="6"/>
      <c r="UT21" s="6"/>
      <c r="UU21" s="6"/>
      <c r="UV21" s="6"/>
      <c r="UW21" s="6"/>
      <c r="UX21" s="6"/>
      <c r="UY21" s="6"/>
      <c r="UZ21" s="6"/>
      <c r="VA21" s="6"/>
      <c r="VB21" s="6"/>
      <c r="VC21" s="6"/>
      <c r="VD21" s="6"/>
      <c r="VE21" s="6"/>
      <c r="VF21" s="6"/>
      <c r="VG21" s="6"/>
      <c r="VH21" s="6"/>
      <c r="VI21" s="6"/>
      <c r="VJ21" s="6"/>
      <c r="VK21" s="6"/>
      <c r="VL21" s="6"/>
      <c r="VM21" s="6"/>
      <c r="VN21" s="6"/>
      <c r="VO21" s="6"/>
      <c r="VP21" s="6"/>
      <c r="VQ21" s="6"/>
      <c r="VR21" s="6"/>
      <c r="VS21" s="6"/>
      <c r="VT21" s="6"/>
      <c r="VU21" s="6"/>
      <c r="VV21" s="6"/>
      <c r="VW21" s="6"/>
      <c r="VX21" s="6"/>
      <c r="VY21" s="6"/>
      <c r="VZ21" s="6"/>
      <c r="WA21" s="6"/>
      <c r="WB21" s="6"/>
      <c r="WC21" s="6"/>
      <c r="WD21" s="6"/>
      <c r="WE21" s="6"/>
      <c r="WF21" s="6"/>
      <c r="WG21" s="6"/>
      <c r="WH21" s="6"/>
      <c r="WI21" s="6"/>
      <c r="WJ21" s="6"/>
      <c r="WK21" s="6"/>
      <c r="WL21" s="6"/>
      <c r="WM21" s="6"/>
      <c r="WN21" s="6"/>
      <c r="WO21" s="6"/>
      <c r="WP21" s="6"/>
      <c r="WQ21" s="6"/>
      <c r="WR21" s="6"/>
      <c r="WS21" s="6"/>
      <c r="WT21" s="6"/>
      <c r="WU21" s="6"/>
      <c r="WV21" s="6"/>
      <c r="WW21" s="6"/>
      <c r="WX21" s="6"/>
      <c r="WY21" s="6"/>
      <c r="WZ21" s="6"/>
      <c r="XA21" s="6"/>
      <c r="XB21" s="6"/>
      <c r="XC21" s="6"/>
      <c r="XD21" s="6"/>
      <c r="XE21" s="6"/>
      <c r="XF21" s="6"/>
      <c r="XG21" s="6"/>
      <c r="XH21" s="6"/>
      <c r="XI21" s="6"/>
      <c r="XJ21" s="6"/>
      <c r="XK21" s="6"/>
      <c r="XL21" s="6"/>
      <c r="XM21" s="6"/>
      <c r="XN21" s="6"/>
      <c r="XO21" s="6"/>
      <c r="XP21" s="6"/>
      <c r="XQ21" s="6"/>
      <c r="XR21" s="6"/>
      <c r="XS21" s="6"/>
      <c r="XT21" s="6"/>
      <c r="XU21" s="6"/>
      <c r="XV21" s="6"/>
      <c r="XW21" s="6"/>
      <c r="XX21" s="6"/>
      <c r="XY21" s="6"/>
      <c r="XZ21" s="6"/>
      <c r="YA21" s="6"/>
      <c r="YB21" s="6"/>
      <c r="YC21" s="6"/>
      <c r="YD21" s="6"/>
      <c r="YE21" s="6"/>
      <c r="YF21" s="6"/>
      <c r="YG21" s="6"/>
      <c r="YH21" s="6"/>
      <c r="YI21" s="6"/>
      <c r="YJ21" s="6"/>
      <c r="YK21" s="6"/>
      <c r="YL21" s="6"/>
      <c r="YM21" s="6"/>
      <c r="YN21" s="6"/>
      <c r="YO21" s="6"/>
      <c r="YP21" s="6"/>
      <c r="YQ21" s="6"/>
      <c r="YR21" s="6"/>
      <c r="YS21" s="6"/>
      <c r="YT21" s="6"/>
      <c r="YU21" s="6"/>
      <c r="YV21" s="6"/>
      <c r="YW21" s="6"/>
      <c r="YX21" s="6"/>
      <c r="YY21" s="6"/>
      <c r="YZ21" s="6"/>
      <c r="ZA21" s="6"/>
      <c r="ZB21" s="6"/>
      <c r="ZC21" s="6"/>
      <c r="ZD21" s="6"/>
      <c r="ZE21" s="6"/>
      <c r="ZF21" s="6"/>
      <c r="ZG21" s="6"/>
      <c r="ZH21" s="6"/>
      <c r="ZI21" s="6"/>
      <c r="ZJ21" s="6"/>
      <c r="ZK21" s="6"/>
      <c r="ZL21" s="6"/>
      <c r="ZM21" s="6"/>
      <c r="ZN21" s="6"/>
      <c r="ZO21" s="6"/>
      <c r="ZP21" s="6"/>
      <c r="ZQ21" s="6"/>
      <c r="ZR21" s="6"/>
      <c r="ZS21" s="6"/>
      <c r="ZT21" s="6"/>
      <c r="ZU21" s="6"/>
      <c r="ZV21" s="6"/>
      <c r="ZW21" s="6"/>
      <c r="ZX21" s="6"/>
      <c r="ZY21" s="6"/>
      <c r="ZZ21" s="6"/>
      <c r="AAA21" s="6"/>
      <c r="AAB21" s="6"/>
      <c r="AAC21" s="6"/>
      <c r="AAD21" s="6"/>
      <c r="AAE21" s="6"/>
      <c r="AAF21" s="6"/>
      <c r="AAG21" s="6"/>
      <c r="AAH21" s="6"/>
      <c r="AAI21" s="6"/>
      <c r="AAJ21" s="6"/>
      <c r="AAK21" s="6"/>
      <c r="AAL21" s="6"/>
      <c r="AAM21" s="6"/>
      <c r="AAN21" s="6"/>
      <c r="AAO21" s="6"/>
      <c r="AAP21" s="6"/>
      <c r="AAQ21" s="6"/>
      <c r="AAR21" s="6"/>
      <c r="AAS21" s="6"/>
      <c r="AAT21" s="6"/>
      <c r="AAU21" s="6"/>
      <c r="AAV21" s="6"/>
      <c r="AAW21" s="6"/>
      <c r="AAX21" s="6"/>
      <c r="AAY21" s="6"/>
      <c r="AAZ21" s="6"/>
      <c r="ABA21" s="6"/>
      <c r="ABB21" s="6"/>
      <c r="ABC21" s="6"/>
      <c r="ABD21" s="6"/>
      <c r="ABE21" s="6"/>
      <c r="ABF21" s="6"/>
      <c r="ABG21" s="6"/>
      <c r="ABH21" s="6"/>
      <c r="ABI21" s="6"/>
      <c r="ABJ21" s="6"/>
      <c r="ABK21" s="6"/>
      <c r="ABL21" s="6"/>
      <c r="ABM21" s="6"/>
      <c r="ABN21" s="6"/>
      <c r="ABO21" s="6"/>
      <c r="ABP21" s="6"/>
      <c r="ABQ21" s="6"/>
      <c r="ABR21" s="6"/>
      <c r="ABS21" s="6"/>
      <c r="ABT21" s="6"/>
      <c r="ABU21" s="6"/>
      <c r="ABV21" s="6"/>
      <c r="ABW21" s="6"/>
      <c r="ABX21" s="6"/>
      <c r="ABY21" s="6"/>
      <c r="ABZ21" s="6"/>
      <c r="ACA21" s="6"/>
      <c r="ACB21" s="6"/>
      <c r="ACC21" s="6"/>
      <c r="ACD21" s="6"/>
      <c r="ACE21" s="6"/>
      <c r="ACF21" s="6"/>
      <c r="ACG21" s="6"/>
      <c r="ACH21" s="6"/>
      <c r="ACI21" s="6"/>
      <c r="ACJ21" s="6"/>
      <c r="ACK21" s="6"/>
      <c r="ACL21" s="6"/>
      <c r="ACM21" s="6"/>
      <c r="ACN21" s="6"/>
      <c r="ACO21" s="6"/>
      <c r="ACP21" s="6"/>
      <c r="ACQ21" s="6"/>
      <c r="ACR21" s="6"/>
      <c r="ACS21" s="6"/>
      <c r="ACT21" s="6"/>
      <c r="ACU21" s="6"/>
      <c r="ACV21" s="6"/>
      <c r="ACW21" s="6"/>
      <c r="ACX21" s="6"/>
      <c r="ACY21" s="6"/>
      <c r="ACZ21" s="6"/>
      <c r="ADA21" s="6"/>
      <c r="ADB21" s="6"/>
      <c r="ADC21" s="6"/>
      <c r="ADD21" s="6"/>
      <c r="ADE21" s="6"/>
      <c r="ADF21" s="6"/>
      <c r="ADG21" s="6"/>
      <c r="ADH21" s="6"/>
      <c r="ADI21" s="6"/>
      <c r="ADJ21" s="6"/>
      <c r="ADK21" s="6"/>
      <c r="ADL21" s="6"/>
      <c r="ADM21" s="6"/>
      <c r="ADN21" s="6"/>
      <c r="ADO21" s="6"/>
      <c r="ADP21" s="6"/>
      <c r="ADQ21" s="6"/>
      <c r="ADR21" s="6"/>
      <c r="ADS21" s="6"/>
      <c r="ADT21" s="6"/>
      <c r="ADU21" s="6"/>
      <c r="ADV21" s="6"/>
      <c r="ADW21" s="6"/>
      <c r="ADX21" s="6"/>
      <c r="ADY21" s="6"/>
      <c r="ADZ21" s="6"/>
      <c r="AEA21" s="6"/>
      <c r="AEB21" s="6"/>
      <c r="AEC21" s="6"/>
      <c r="AED21" s="6"/>
      <c r="AEE21" s="6"/>
      <c r="AEF21" s="6"/>
      <c r="AEG21" s="6"/>
      <c r="AEH21" s="6"/>
      <c r="AEI21" s="6"/>
      <c r="AEJ21" s="6"/>
      <c r="AEK21" s="6"/>
      <c r="AEL21" s="6"/>
      <c r="AEM21" s="6"/>
      <c r="AEN21" s="6"/>
      <c r="AEO21" s="6"/>
      <c r="AEP21" s="6"/>
      <c r="AEQ21" s="6"/>
      <c r="AER21" s="6"/>
      <c r="AES21" s="6"/>
      <c r="AET21" s="6"/>
      <c r="AEU21" s="6"/>
      <c r="AEV21" s="6"/>
      <c r="AEW21" s="6"/>
      <c r="AEX21" s="6"/>
      <c r="AEY21" s="6"/>
      <c r="AEZ21" s="6"/>
      <c r="AFA21" s="6"/>
      <c r="AFB21" s="6"/>
      <c r="AFC21" s="6"/>
      <c r="AFD21" s="6"/>
      <c r="AFE21" s="6"/>
      <c r="AFF21" s="6"/>
      <c r="AFG21" s="6"/>
      <c r="AFH21" s="6"/>
      <c r="AFI21" s="6"/>
      <c r="AFJ21" s="6"/>
      <c r="AFK21" s="6"/>
      <c r="AFL21" s="6"/>
      <c r="AFM21" s="6"/>
      <c r="AFN21" s="6"/>
      <c r="AFO21" s="6"/>
      <c r="AFP21" s="6"/>
      <c r="AFQ21" s="6"/>
      <c r="AFR21" s="6"/>
      <c r="AFS21" s="6"/>
      <c r="AFT21" s="6"/>
      <c r="AFU21" s="6"/>
      <c r="AFV21" s="6"/>
      <c r="AFW21" s="6"/>
      <c r="AFX21" s="6"/>
      <c r="AFY21" s="6"/>
      <c r="AFZ21" s="6"/>
      <c r="AGA21" s="6"/>
      <c r="AGB21" s="6"/>
      <c r="AGC21" s="6"/>
      <c r="AGD21" s="6"/>
      <c r="AGE21" s="6"/>
      <c r="AGF21" s="6"/>
      <c r="AGG21" s="6"/>
      <c r="AGH21" s="6"/>
      <c r="AGI21" s="6"/>
      <c r="AGJ21" s="6"/>
      <c r="AGK21" s="6"/>
      <c r="AGL21" s="6"/>
      <c r="AGM21" s="6"/>
      <c r="AGN21" s="6"/>
      <c r="AGO21" s="6"/>
      <c r="AGP21" s="6"/>
      <c r="AGQ21" s="6"/>
      <c r="AGR21" s="6"/>
      <c r="AGS21" s="6"/>
      <c r="AGT21" s="6"/>
      <c r="AGU21" s="6"/>
      <c r="AGV21" s="6"/>
      <c r="AGW21" s="6"/>
      <c r="AGX21" s="6"/>
      <c r="AGY21" s="6"/>
      <c r="AGZ21" s="6"/>
      <c r="AHA21" s="6"/>
      <c r="AHB21" s="6"/>
      <c r="AHC21" s="6"/>
      <c r="AHD21" s="6"/>
      <c r="AHE21" s="6"/>
      <c r="AHF21" s="6"/>
      <c r="AHG21" s="6"/>
      <c r="AHH21" s="6"/>
      <c r="AHI21" s="6"/>
      <c r="AHJ21" s="6"/>
      <c r="AHK21" s="6"/>
      <c r="AHL21" s="6"/>
      <c r="AHM21" s="6"/>
      <c r="AHN21" s="6"/>
      <c r="AHO21" s="6"/>
      <c r="AHP21" s="6"/>
      <c r="AHQ21" s="6"/>
      <c r="AHR21" s="6"/>
      <c r="AHS21" s="6"/>
      <c r="AHT21" s="6"/>
      <c r="AHU21" s="6"/>
      <c r="AHV21" s="6"/>
      <c r="AHW21" s="6"/>
      <c r="AHX21" s="6"/>
      <c r="AHY21" s="6"/>
      <c r="AHZ21" s="6"/>
      <c r="AIA21" s="6"/>
      <c r="AIB21" s="6"/>
      <c r="AIC21" s="6"/>
      <c r="AID21" s="6"/>
      <c r="AIE21" s="6"/>
      <c r="AIF21" s="6"/>
      <c r="AIG21" s="6"/>
      <c r="AIH21" s="6"/>
      <c r="AII21" s="6"/>
      <c r="AIJ21" s="6"/>
      <c r="AIK21" s="6"/>
      <c r="AIL21" s="6"/>
      <c r="AIM21" s="6"/>
      <c r="AIN21" s="6"/>
      <c r="AIO21" s="6"/>
      <c r="AIP21" s="6"/>
      <c r="AIQ21" s="6"/>
      <c r="AIR21" s="6"/>
      <c r="AIS21" s="6"/>
      <c r="AIT21" s="6"/>
      <c r="AIU21" s="6"/>
      <c r="AIV21" s="6"/>
      <c r="AIW21" s="6"/>
      <c r="AIX21" s="6"/>
      <c r="AIY21" s="6"/>
      <c r="AIZ21" s="6"/>
      <c r="AJA21" s="6"/>
      <c r="AJB21" s="6"/>
      <c r="AJC21" s="6"/>
      <c r="AJD21" s="6"/>
      <c r="AJE21" s="6"/>
      <c r="AJF21" s="6"/>
      <c r="AJG21" s="6"/>
      <c r="AJH21" s="6"/>
      <c r="AJI21" s="6"/>
      <c r="AJJ21" s="6"/>
      <c r="AJK21" s="6"/>
      <c r="AJL21" s="6"/>
      <c r="AJM21" s="6"/>
      <c r="AJN21" s="6"/>
      <c r="AJO21" s="6"/>
      <c r="AJP21" s="6"/>
      <c r="AJQ21" s="6"/>
      <c r="AJR21" s="6"/>
      <c r="AJS21" s="6"/>
      <c r="AJT21" s="6"/>
      <c r="AJU21" s="6"/>
      <c r="AJV21" s="6"/>
      <c r="AJW21" s="6"/>
      <c r="AJX21" s="6"/>
      <c r="AJY21" s="6"/>
      <c r="AJZ21" s="6"/>
      <c r="AKA21" s="6"/>
      <c r="AKB21" s="6"/>
      <c r="AKC21" s="6"/>
      <c r="AKD21" s="6"/>
      <c r="AKE21" s="6"/>
      <c r="AKF21" s="6"/>
      <c r="AKG21" s="6"/>
      <c r="AKH21" s="6"/>
      <c r="AKI21" s="6"/>
      <c r="AKJ21" s="6"/>
      <c r="AKK21" s="6"/>
      <c r="AKL21" s="6"/>
      <c r="AKM21" s="6"/>
      <c r="AKN21" s="6"/>
      <c r="AKO21" s="6"/>
      <c r="AKP21" s="6"/>
      <c r="AKQ21" s="6"/>
      <c r="AKR21" s="6"/>
      <c r="AKS21" s="6"/>
      <c r="AKT21" s="6"/>
      <c r="AKU21" s="6"/>
      <c r="AKV21" s="6"/>
      <c r="AKW21" s="6"/>
      <c r="AKX21" s="6"/>
      <c r="AKY21" s="6"/>
      <c r="AKZ21" s="6"/>
      <c r="ALA21" s="6"/>
      <c r="ALB21" s="6"/>
      <c r="ALC21" s="6"/>
      <c r="ALD21" s="6"/>
      <c r="ALE21" s="6"/>
      <c r="ALF21" s="6"/>
      <c r="ALG21" s="6"/>
      <c r="ALH21" s="6"/>
      <c r="ALI21" s="6"/>
      <c r="ALJ21" s="6"/>
      <c r="ALK21" s="6"/>
      <c r="ALL21" s="6"/>
      <c r="ALM21" s="6"/>
      <c r="ALN21" s="6"/>
      <c r="ALO21" s="6"/>
      <c r="ALP21" s="6"/>
      <c r="ALQ21" s="6"/>
      <c r="ALR21" s="6"/>
      <c r="ALS21" s="6"/>
      <c r="ALT21" s="6"/>
      <c r="ALU21" s="6"/>
      <c r="ALV21" s="6"/>
      <c r="ALW21" s="6"/>
      <c r="ALX21" s="6"/>
      <c r="ALY21" s="6"/>
      <c r="ALZ21" s="6"/>
      <c r="AMA21" s="6"/>
      <c r="AMB21" s="6"/>
      <c r="AMC21" s="6"/>
      <c r="AMD21" s="6"/>
      <c r="AME21" s="6"/>
      <c r="AMF21" s="6"/>
      <c r="AMG21" s="6"/>
      <c r="AMH21" s="6"/>
      <c r="AMI21" s="6"/>
      <c r="AMJ21" s="6"/>
      <c r="AMK21" s="6"/>
      <c r="AML21" s="6"/>
      <c r="AMM21" s="6"/>
      <c r="AMN21" s="6"/>
      <c r="AMO21" s="6"/>
      <c r="AMP21" s="6"/>
      <c r="AMQ21" s="6"/>
    </row>
    <row r="22" spans="1:1031" ht="12.75" customHeight="1">
      <c r="A22">
        <v>3</v>
      </c>
      <c r="B22" t="s">
        <v>56</v>
      </c>
      <c r="C22" s="6" t="s">
        <v>22</v>
      </c>
      <c r="D22" s="15">
        <v>116.1</v>
      </c>
      <c r="E22" s="15">
        <v>37</v>
      </c>
      <c r="F22" s="15">
        <v>35</v>
      </c>
      <c r="G22" s="15">
        <v>42</v>
      </c>
      <c r="H22" s="15">
        <v>114</v>
      </c>
      <c r="I22" s="5">
        <v>1.1000000000000001</v>
      </c>
      <c r="J22" s="5">
        <v>0</v>
      </c>
      <c r="K22" s="5">
        <v>0.5</v>
      </c>
      <c r="L22" s="6"/>
      <c r="M22" s="6">
        <f>ABS(D22-H22)</f>
        <v>2.0999999999999943</v>
      </c>
      <c r="N22" s="6"/>
      <c r="O22" s="6" t="s">
        <v>23</v>
      </c>
      <c r="P22" s="4">
        <v>854.75</v>
      </c>
      <c r="Q22" s="4">
        <v>3004.2</v>
      </c>
      <c r="R22" s="4">
        <f>Table1[[#This Row],[max]]-Table1[[#This Row],[min]]</f>
        <v>2149.4499999999998</v>
      </c>
      <c r="S22" s="4">
        <f>VLOOKUP(Table1[[#This Row],[finger]],fingerMaxMin[],3)-Table1[[#This Row],[max]]</f>
        <v>3.8000000000001819</v>
      </c>
      <c r="T22" s="7">
        <f>P22/scale</f>
        <v>46.008719991387665</v>
      </c>
      <c r="U22" s="7">
        <f>Q22/scale</f>
        <v>161.70739584454731</v>
      </c>
      <c r="V22" s="28">
        <f>Table1[[#This Row],[scaled max]]-Table1[[#This Row],[scaled min]]</f>
        <v>115.69867585315964</v>
      </c>
      <c r="W22" s="28">
        <f>(VLOOKUP(Table1[[#This Row],[finger]],fingerMaxMin[],3)/scale)-T22</f>
        <v>115.90321886101842</v>
      </c>
      <c r="X22" s="8">
        <f>SIN(RADIANS(T22))</f>
        <v>0.71944551384340716</v>
      </c>
      <c r="Y22" s="8">
        <f>SIN(RADIANS(U22))</f>
        <v>0.31386989976585694</v>
      </c>
      <c r="Z22" s="6"/>
      <c r="AA22">
        <f>COS(RADIANS(T22))</f>
        <v>0.69454888424832695</v>
      </c>
      <c r="AB22">
        <f>COS(RADIANS(U22))</f>
        <v>-0.94946600045550389</v>
      </c>
      <c r="AC22" s="6"/>
      <c r="AD22" s="6">
        <f>P22/Q22</f>
        <v>0.28451834098928169</v>
      </c>
      <c r="AF22" t="s">
        <v>23</v>
      </c>
      <c r="AG22">
        <v>1616.8</v>
      </c>
      <c r="AH22">
        <v>2075.0700000000002</v>
      </c>
      <c r="AI22" s="6">
        <f>Table1[[#This Row],[Smax]]-Table1[[#This Row],[Smin]]</f>
        <v>458.27000000000021</v>
      </c>
      <c r="AJ22" s="6">
        <f>AVERAGE(Table1[[#This Row],[Smin]:[Smax]])</f>
        <v>1845.9349999999999</v>
      </c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  <c r="IW22" s="6"/>
      <c r="IX22" s="6"/>
      <c r="IY22" s="6"/>
      <c r="IZ22" s="6"/>
      <c r="JA22" s="6"/>
      <c r="JB22" s="6"/>
      <c r="JC22" s="6"/>
      <c r="JD22" s="6"/>
      <c r="JE22" s="6"/>
      <c r="JF22" s="6"/>
      <c r="JG22" s="6"/>
      <c r="JH22" s="6"/>
      <c r="JI22" s="6"/>
      <c r="JJ22" s="6"/>
      <c r="JK22" s="6"/>
      <c r="JL22" s="6"/>
      <c r="JM22" s="6"/>
      <c r="JN22" s="6"/>
      <c r="JO22" s="6"/>
      <c r="JP22" s="6"/>
      <c r="JQ22" s="6"/>
      <c r="JR22" s="6"/>
      <c r="JS22" s="6"/>
      <c r="JT22" s="6"/>
      <c r="JU22" s="6"/>
      <c r="JV22" s="6"/>
      <c r="JW22" s="6"/>
      <c r="JX22" s="6"/>
      <c r="JY22" s="6"/>
      <c r="JZ22" s="6"/>
      <c r="KA22" s="6"/>
      <c r="KB22" s="6"/>
      <c r="KC22" s="6"/>
      <c r="KD22" s="6"/>
      <c r="KE22" s="6"/>
      <c r="KF22" s="6"/>
      <c r="KG22" s="6"/>
      <c r="KH22" s="6"/>
      <c r="KI22" s="6"/>
      <c r="KJ22" s="6"/>
      <c r="KK22" s="6"/>
      <c r="KL22" s="6"/>
      <c r="KM22" s="6"/>
      <c r="KN22" s="6"/>
      <c r="KO22" s="6"/>
      <c r="KP22" s="6"/>
      <c r="KQ22" s="6"/>
      <c r="KR22" s="6"/>
      <c r="KS22" s="6"/>
      <c r="KT22" s="6"/>
      <c r="KU22" s="6"/>
      <c r="KV22" s="6"/>
      <c r="KW22" s="6"/>
      <c r="KX22" s="6"/>
      <c r="KY22" s="6"/>
      <c r="KZ22" s="6"/>
      <c r="LA22" s="6"/>
      <c r="LB22" s="6"/>
      <c r="LC22" s="6"/>
      <c r="LD22" s="6"/>
      <c r="LE22" s="6"/>
      <c r="LF22" s="6"/>
      <c r="LG22" s="6"/>
      <c r="LH22" s="6"/>
      <c r="LI22" s="6"/>
      <c r="LJ22" s="6"/>
      <c r="LK22" s="6"/>
      <c r="LL22" s="6"/>
      <c r="LM22" s="6"/>
      <c r="LN22" s="6"/>
      <c r="LO22" s="6"/>
      <c r="LP22" s="6"/>
      <c r="LQ22" s="6"/>
      <c r="LR22" s="6"/>
      <c r="LS22" s="6"/>
      <c r="LT22" s="6"/>
      <c r="LU22" s="6"/>
      <c r="LV22" s="6"/>
      <c r="LW22" s="6"/>
      <c r="LX22" s="6"/>
      <c r="LY22" s="6"/>
      <c r="LZ22" s="6"/>
      <c r="MA22" s="6"/>
      <c r="MB22" s="6"/>
      <c r="MC22" s="6"/>
      <c r="MD22" s="6"/>
      <c r="ME22" s="6"/>
      <c r="MF22" s="6"/>
      <c r="MG22" s="6"/>
      <c r="MH22" s="6"/>
      <c r="MI22" s="6"/>
      <c r="MJ22" s="6"/>
      <c r="MK22" s="6"/>
      <c r="ML22" s="6"/>
      <c r="MM22" s="6"/>
      <c r="MN22" s="6"/>
      <c r="MO22" s="6"/>
      <c r="MP22" s="6"/>
      <c r="MQ22" s="6"/>
      <c r="MR22" s="6"/>
      <c r="MS22" s="6"/>
      <c r="MT22" s="6"/>
      <c r="MU22" s="6"/>
      <c r="MV22" s="6"/>
      <c r="MW22" s="6"/>
      <c r="MX22" s="6"/>
      <c r="MY22" s="6"/>
      <c r="MZ22" s="6"/>
      <c r="NA22" s="6"/>
      <c r="NB22" s="6"/>
      <c r="NC22" s="6"/>
      <c r="ND22" s="6"/>
      <c r="NE22" s="6"/>
      <c r="NF22" s="6"/>
      <c r="NG22" s="6"/>
      <c r="NH22" s="6"/>
      <c r="NI22" s="6"/>
      <c r="NJ22" s="6"/>
      <c r="NK22" s="6"/>
      <c r="NL22" s="6"/>
      <c r="NM22" s="6"/>
      <c r="NN22" s="6"/>
      <c r="NO22" s="6"/>
      <c r="NP22" s="6"/>
      <c r="NQ22" s="6"/>
      <c r="NR22" s="6"/>
      <c r="NS22" s="6"/>
      <c r="NT22" s="6"/>
      <c r="NU22" s="6"/>
      <c r="NV22" s="6"/>
      <c r="NW22" s="6"/>
      <c r="NX22" s="6"/>
      <c r="NY22" s="6"/>
      <c r="NZ22" s="6"/>
      <c r="OA22" s="6"/>
      <c r="OB22" s="6"/>
      <c r="OC22" s="6"/>
      <c r="OD22" s="6"/>
      <c r="OE22" s="6"/>
      <c r="OF22" s="6"/>
      <c r="OG22" s="6"/>
      <c r="OH22" s="6"/>
      <c r="OI22" s="6"/>
      <c r="OJ22" s="6"/>
      <c r="OK22" s="6"/>
      <c r="OL22" s="6"/>
      <c r="OM22" s="6"/>
      <c r="ON22" s="6"/>
      <c r="OO22" s="6"/>
      <c r="OP22" s="6"/>
      <c r="OQ22" s="6"/>
      <c r="OR22" s="6"/>
      <c r="OS22" s="6"/>
      <c r="OT22" s="6"/>
      <c r="OU22" s="6"/>
      <c r="OV22" s="6"/>
      <c r="OW22" s="6"/>
      <c r="OX22" s="6"/>
      <c r="OY22" s="6"/>
      <c r="OZ22" s="6"/>
      <c r="PA22" s="6"/>
      <c r="PB22" s="6"/>
      <c r="PC22" s="6"/>
      <c r="PD22" s="6"/>
      <c r="PE22" s="6"/>
      <c r="PF22" s="6"/>
      <c r="PG22" s="6"/>
      <c r="PH22" s="6"/>
      <c r="PI22" s="6"/>
      <c r="PJ22" s="6"/>
      <c r="PK22" s="6"/>
      <c r="PL22" s="6"/>
      <c r="PM22" s="6"/>
      <c r="PN22" s="6"/>
      <c r="PO22" s="6"/>
      <c r="PP22" s="6"/>
      <c r="PQ22" s="6"/>
      <c r="PR22" s="6"/>
      <c r="PS22" s="6"/>
      <c r="PT22" s="6"/>
      <c r="PU22" s="6"/>
      <c r="PV22" s="6"/>
      <c r="PW22" s="6"/>
      <c r="PX22" s="6"/>
      <c r="PY22" s="6"/>
      <c r="PZ22" s="6"/>
      <c r="QA22" s="6"/>
      <c r="QB22" s="6"/>
      <c r="QC22" s="6"/>
      <c r="QD22" s="6"/>
      <c r="QE22" s="6"/>
      <c r="QF22" s="6"/>
      <c r="QG22" s="6"/>
      <c r="QH22" s="6"/>
      <c r="QI22" s="6"/>
      <c r="QJ22" s="6"/>
      <c r="QK22" s="6"/>
      <c r="QL22" s="6"/>
      <c r="QM22" s="6"/>
      <c r="QN22" s="6"/>
      <c r="QO22" s="6"/>
      <c r="QP22" s="6"/>
      <c r="QQ22" s="6"/>
      <c r="QR22" s="6"/>
      <c r="QS22" s="6"/>
      <c r="QT22" s="6"/>
      <c r="QU22" s="6"/>
      <c r="QV22" s="6"/>
      <c r="QW22" s="6"/>
      <c r="QX22" s="6"/>
      <c r="QY22" s="6"/>
      <c r="QZ22" s="6"/>
      <c r="RA22" s="6"/>
      <c r="RB22" s="6"/>
      <c r="RC22" s="6"/>
      <c r="RD22" s="6"/>
      <c r="RE22" s="6"/>
      <c r="RF22" s="6"/>
      <c r="RG22" s="6"/>
      <c r="RH22" s="6"/>
      <c r="RI22" s="6"/>
      <c r="RJ22" s="6"/>
      <c r="RK22" s="6"/>
      <c r="RL22" s="6"/>
      <c r="RM22" s="6"/>
      <c r="RN22" s="6"/>
      <c r="RO22" s="6"/>
      <c r="RP22" s="6"/>
      <c r="RQ22" s="6"/>
      <c r="RR22" s="6"/>
      <c r="RS22" s="6"/>
      <c r="RT22" s="6"/>
      <c r="RU22" s="6"/>
      <c r="RV22" s="6"/>
      <c r="RW22" s="6"/>
      <c r="RX22" s="6"/>
      <c r="RY22" s="6"/>
      <c r="RZ22" s="6"/>
      <c r="SA22" s="6"/>
      <c r="SB22" s="6"/>
      <c r="SC22" s="6"/>
      <c r="SD22" s="6"/>
      <c r="SE22" s="6"/>
      <c r="SF22" s="6"/>
      <c r="SG22" s="6"/>
      <c r="SH22" s="6"/>
      <c r="SI22" s="6"/>
      <c r="SJ22" s="6"/>
      <c r="SK22" s="6"/>
      <c r="SL22" s="6"/>
      <c r="SM22" s="6"/>
      <c r="SN22" s="6"/>
      <c r="SO22" s="6"/>
      <c r="SP22" s="6"/>
      <c r="SQ22" s="6"/>
      <c r="SR22" s="6"/>
      <c r="SS22" s="6"/>
      <c r="ST22" s="6"/>
      <c r="SU22" s="6"/>
      <c r="SV22" s="6"/>
      <c r="SW22" s="6"/>
      <c r="SX22" s="6"/>
      <c r="SY22" s="6"/>
      <c r="SZ22" s="6"/>
      <c r="TA22" s="6"/>
      <c r="TB22" s="6"/>
      <c r="TC22" s="6"/>
      <c r="TD22" s="6"/>
      <c r="TE22" s="6"/>
      <c r="TF22" s="6"/>
      <c r="TG22" s="6"/>
      <c r="TH22" s="6"/>
      <c r="TI22" s="6"/>
      <c r="TJ22" s="6"/>
      <c r="TK22" s="6"/>
      <c r="TL22" s="6"/>
      <c r="TM22" s="6"/>
      <c r="TN22" s="6"/>
      <c r="TO22" s="6"/>
      <c r="TP22" s="6"/>
      <c r="TQ22" s="6"/>
      <c r="TR22" s="6"/>
      <c r="TS22" s="6"/>
      <c r="TT22" s="6"/>
      <c r="TU22" s="6"/>
      <c r="TV22" s="6"/>
      <c r="TW22" s="6"/>
      <c r="TX22" s="6"/>
      <c r="TY22" s="6"/>
      <c r="TZ22" s="6"/>
      <c r="UA22" s="6"/>
      <c r="UB22" s="6"/>
      <c r="UC22" s="6"/>
      <c r="UD22" s="6"/>
      <c r="UE22" s="6"/>
      <c r="UF22" s="6"/>
      <c r="UG22" s="6"/>
      <c r="UH22" s="6"/>
      <c r="UI22" s="6"/>
      <c r="UJ22" s="6"/>
      <c r="UK22" s="6"/>
      <c r="UL22" s="6"/>
      <c r="UM22" s="6"/>
      <c r="UN22" s="6"/>
      <c r="UO22" s="6"/>
      <c r="UP22" s="6"/>
      <c r="UQ22" s="6"/>
      <c r="UR22" s="6"/>
      <c r="US22" s="6"/>
      <c r="UT22" s="6"/>
      <c r="UU22" s="6"/>
      <c r="UV22" s="6"/>
      <c r="UW22" s="6"/>
      <c r="UX22" s="6"/>
      <c r="UY22" s="6"/>
      <c r="UZ22" s="6"/>
      <c r="VA22" s="6"/>
      <c r="VB22" s="6"/>
      <c r="VC22" s="6"/>
      <c r="VD22" s="6"/>
      <c r="VE22" s="6"/>
      <c r="VF22" s="6"/>
      <c r="VG22" s="6"/>
      <c r="VH22" s="6"/>
      <c r="VI22" s="6"/>
      <c r="VJ22" s="6"/>
      <c r="VK22" s="6"/>
      <c r="VL22" s="6"/>
      <c r="VM22" s="6"/>
      <c r="VN22" s="6"/>
      <c r="VO22" s="6"/>
      <c r="VP22" s="6"/>
      <c r="VQ22" s="6"/>
      <c r="VR22" s="6"/>
      <c r="VS22" s="6"/>
      <c r="VT22" s="6"/>
      <c r="VU22" s="6"/>
      <c r="VV22" s="6"/>
      <c r="VW22" s="6"/>
      <c r="VX22" s="6"/>
      <c r="VY22" s="6"/>
      <c r="VZ22" s="6"/>
      <c r="WA22" s="6"/>
      <c r="WB22" s="6"/>
      <c r="WC22" s="6"/>
      <c r="WD22" s="6"/>
      <c r="WE22" s="6"/>
      <c r="WF22" s="6"/>
      <c r="WG22" s="6"/>
      <c r="WH22" s="6"/>
      <c r="WI22" s="6"/>
      <c r="WJ22" s="6"/>
      <c r="WK22" s="6"/>
      <c r="WL22" s="6"/>
      <c r="WM22" s="6"/>
      <c r="WN22" s="6"/>
      <c r="WO22" s="6"/>
      <c r="WP22" s="6"/>
      <c r="WQ22" s="6"/>
      <c r="WR22" s="6"/>
      <c r="WS22" s="6"/>
      <c r="WT22" s="6"/>
      <c r="WU22" s="6"/>
      <c r="WV22" s="6"/>
      <c r="WW22" s="6"/>
      <c r="WX22" s="6"/>
      <c r="WY22" s="6"/>
      <c r="WZ22" s="6"/>
      <c r="XA22" s="6"/>
      <c r="XB22" s="6"/>
      <c r="XC22" s="6"/>
      <c r="XD22" s="6"/>
      <c r="XE22" s="6"/>
      <c r="XF22" s="6"/>
      <c r="XG22" s="6"/>
      <c r="XH22" s="6"/>
      <c r="XI22" s="6"/>
      <c r="XJ22" s="6"/>
      <c r="XK22" s="6"/>
      <c r="XL22" s="6"/>
      <c r="XM22" s="6"/>
      <c r="XN22" s="6"/>
      <c r="XO22" s="6"/>
      <c r="XP22" s="6"/>
      <c r="XQ22" s="6"/>
      <c r="XR22" s="6"/>
      <c r="XS22" s="6"/>
      <c r="XT22" s="6"/>
      <c r="XU22" s="6"/>
      <c r="XV22" s="6"/>
      <c r="XW22" s="6"/>
      <c r="XX22" s="6"/>
      <c r="XY22" s="6"/>
      <c r="XZ22" s="6"/>
      <c r="YA22" s="6"/>
      <c r="YB22" s="6"/>
      <c r="YC22" s="6"/>
      <c r="YD22" s="6"/>
      <c r="YE22" s="6"/>
      <c r="YF22" s="6"/>
      <c r="YG22" s="6"/>
      <c r="YH22" s="6"/>
      <c r="YI22" s="6"/>
      <c r="YJ22" s="6"/>
      <c r="YK22" s="6"/>
      <c r="YL22" s="6"/>
      <c r="YM22" s="6"/>
      <c r="YN22" s="6"/>
      <c r="YO22" s="6"/>
      <c r="YP22" s="6"/>
      <c r="YQ22" s="6"/>
      <c r="YR22" s="6"/>
      <c r="YS22" s="6"/>
      <c r="YT22" s="6"/>
      <c r="YU22" s="6"/>
      <c r="YV22" s="6"/>
      <c r="YW22" s="6"/>
      <c r="YX22" s="6"/>
      <c r="YY22" s="6"/>
      <c r="YZ22" s="6"/>
      <c r="ZA22" s="6"/>
      <c r="ZB22" s="6"/>
      <c r="ZC22" s="6"/>
      <c r="ZD22" s="6"/>
      <c r="ZE22" s="6"/>
      <c r="ZF22" s="6"/>
      <c r="ZG22" s="6"/>
      <c r="ZH22" s="6"/>
      <c r="ZI22" s="6"/>
      <c r="ZJ22" s="6"/>
      <c r="ZK22" s="6"/>
      <c r="ZL22" s="6"/>
      <c r="ZM22" s="6"/>
      <c r="ZN22" s="6"/>
      <c r="ZO22" s="6"/>
      <c r="ZP22" s="6"/>
      <c r="ZQ22" s="6"/>
      <c r="ZR22" s="6"/>
      <c r="ZS22" s="6"/>
      <c r="ZT22" s="6"/>
      <c r="ZU22" s="6"/>
      <c r="ZV22" s="6"/>
      <c r="ZW22" s="6"/>
      <c r="ZX22" s="6"/>
      <c r="ZY22" s="6"/>
      <c r="ZZ22" s="6"/>
      <c r="AAA22" s="6"/>
      <c r="AAB22" s="6"/>
      <c r="AAC22" s="6"/>
      <c r="AAD22" s="6"/>
      <c r="AAE22" s="6"/>
      <c r="AAF22" s="6"/>
      <c r="AAG22" s="6"/>
      <c r="AAH22" s="6"/>
      <c r="AAI22" s="6"/>
      <c r="AAJ22" s="6"/>
      <c r="AAK22" s="6"/>
      <c r="AAL22" s="6"/>
      <c r="AAM22" s="6"/>
      <c r="AAN22" s="6"/>
      <c r="AAO22" s="6"/>
      <c r="AAP22" s="6"/>
      <c r="AAQ22" s="6"/>
      <c r="AAR22" s="6"/>
      <c r="AAS22" s="6"/>
      <c r="AAT22" s="6"/>
      <c r="AAU22" s="6"/>
      <c r="AAV22" s="6"/>
      <c r="AAW22" s="6"/>
      <c r="AAX22" s="6"/>
      <c r="AAY22" s="6"/>
      <c r="AAZ22" s="6"/>
      <c r="ABA22" s="6"/>
      <c r="ABB22" s="6"/>
      <c r="ABC22" s="6"/>
      <c r="ABD22" s="6"/>
      <c r="ABE22" s="6"/>
      <c r="ABF22" s="6"/>
      <c r="ABG22" s="6"/>
      <c r="ABH22" s="6"/>
      <c r="ABI22" s="6"/>
      <c r="ABJ22" s="6"/>
      <c r="ABK22" s="6"/>
      <c r="ABL22" s="6"/>
      <c r="ABM22" s="6"/>
      <c r="ABN22" s="6"/>
      <c r="ABO22" s="6"/>
      <c r="ABP22" s="6"/>
      <c r="ABQ22" s="6"/>
      <c r="ABR22" s="6"/>
      <c r="ABS22" s="6"/>
      <c r="ABT22" s="6"/>
      <c r="ABU22" s="6"/>
      <c r="ABV22" s="6"/>
      <c r="ABW22" s="6"/>
      <c r="ABX22" s="6"/>
      <c r="ABY22" s="6"/>
      <c r="ABZ22" s="6"/>
      <c r="ACA22" s="6"/>
      <c r="ACB22" s="6"/>
      <c r="ACC22" s="6"/>
      <c r="ACD22" s="6"/>
      <c r="ACE22" s="6"/>
      <c r="ACF22" s="6"/>
      <c r="ACG22" s="6"/>
      <c r="ACH22" s="6"/>
      <c r="ACI22" s="6"/>
      <c r="ACJ22" s="6"/>
      <c r="ACK22" s="6"/>
      <c r="ACL22" s="6"/>
      <c r="ACM22" s="6"/>
      <c r="ACN22" s="6"/>
      <c r="ACO22" s="6"/>
      <c r="ACP22" s="6"/>
      <c r="ACQ22" s="6"/>
      <c r="ACR22" s="6"/>
      <c r="ACS22" s="6"/>
      <c r="ACT22" s="6"/>
      <c r="ACU22" s="6"/>
      <c r="ACV22" s="6"/>
      <c r="ACW22" s="6"/>
      <c r="ACX22" s="6"/>
      <c r="ACY22" s="6"/>
      <c r="ACZ22" s="6"/>
      <c r="ADA22" s="6"/>
      <c r="ADB22" s="6"/>
      <c r="ADC22" s="6"/>
      <c r="ADD22" s="6"/>
      <c r="ADE22" s="6"/>
      <c r="ADF22" s="6"/>
      <c r="ADG22" s="6"/>
      <c r="ADH22" s="6"/>
      <c r="ADI22" s="6"/>
      <c r="ADJ22" s="6"/>
      <c r="ADK22" s="6"/>
      <c r="ADL22" s="6"/>
      <c r="ADM22" s="6"/>
      <c r="ADN22" s="6"/>
      <c r="ADO22" s="6"/>
      <c r="ADP22" s="6"/>
      <c r="ADQ22" s="6"/>
      <c r="ADR22" s="6"/>
      <c r="ADS22" s="6"/>
      <c r="ADT22" s="6"/>
      <c r="ADU22" s="6"/>
      <c r="ADV22" s="6"/>
      <c r="ADW22" s="6"/>
      <c r="ADX22" s="6"/>
      <c r="ADY22" s="6"/>
      <c r="ADZ22" s="6"/>
      <c r="AEA22" s="6"/>
      <c r="AEB22" s="6"/>
      <c r="AEC22" s="6"/>
      <c r="AED22" s="6"/>
      <c r="AEE22" s="6"/>
      <c r="AEF22" s="6"/>
      <c r="AEG22" s="6"/>
      <c r="AEH22" s="6"/>
      <c r="AEI22" s="6"/>
      <c r="AEJ22" s="6"/>
      <c r="AEK22" s="6"/>
      <c r="AEL22" s="6"/>
      <c r="AEM22" s="6"/>
      <c r="AEN22" s="6"/>
      <c r="AEO22" s="6"/>
      <c r="AEP22" s="6"/>
      <c r="AEQ22" s="6"/>
      <c r="AER22" s="6"/>
      <c r="AES22" s="6"/>
      <c r="AET22" s="6"/>
      <c r="AEU22" s="6"/>
      <c r="AEV22" s="6"/>
      <c r="AEW22" s="6"/>
      <c r="AEX22" s="6"/>
      <c r="AEY22" s="6"/>
      <c r="AEZ22" s="6"/>
      <c r="AFA22" s="6"/>
      <c r="AFB22" s="6"/>
      <c r="AFC22" s="6"/>
      <c r="AFD22" s="6"/>
      <c r="AFE22" s="6"/>
      <c r="AFF22" s="6"/>
      <c r="AFG22" s="6"/>
      <c r="AFH22" s="6"/>
      <c r="AFI22" s="6"/>
      <c r="AFJ22" s="6"/>
      <c r="AFK22" s="6"/>
      <c r="AFL22" s="6"/>
      <c r="AFM22" s="6"/>
      <c r="AFN22" s="6"/>
      <c r="AFO22" s="6"/>
      <c r="AFP22" s="6"/>
      <c r="AFQ22" s="6"/>
      <c r="AFR22" s="6"/>
      <c r="AFS22" s="6"/>
      <c r="AFT22" s="6"/>
      <c r="AFU22" s="6"/>
      <c r="AFV22" s="6"/>
      <c r="AFW22" s="6"/>
      <c r="AFX22" s="6"/>
      <c r="AFY22" s="6"/>
      <c r="AFZ22" s="6"/>
      <c r="AGA22" s="6"/>
      <c r="AGB22" s="6"/>
      <c r="AGC22" s="6"/>
      <c r="AGD22" s="6"/>
      <c r="AGE22" s="6"/>
      <c r="AGF22" s="6"/>
      <c r="AGG22" s="6"/>
      <c r="AGH22" s="6"/>
      <c r="AGI22" s="6"/>
      <c r="AGJ22" s="6"/>
      <c r="AGK22" s="6"/>
      <c r="AGL22" s="6"/>
      <c r="AGM22" s="6"/>
      <c r="AGN22" s="6"/>
      <c r="AGO22" s="6"/>
      <c r="AGP22" s="6"/>
      <c r="AGQ22" s="6"/>
      <c r="AGR22" s="6"/>
      <c r="AGS22" s="6"/>
      <c r="AGT22" s="6"/>
      <c r="AGU22" s="6"/>
      <c r="AGV22" s="6"/>
      <c r="AGW22" s="6"/>
      <c r="AGX22" s="6"/>
      <c r="AGY22" s="6"/>
      <c r="AGZ22" s="6"/>
      <c r="AHA22" s="6"/>
      <c r="AHB22" s="6"/>
      <c r="AHC22" s="6"/>
      <c r="AHD22" s="6"/>
      <c r="AHE22" s="6"/>
      <c r="AHF22" s="6"/>
      <c r="AHG22" s="6"/>
      <c r="AHH22" s="6"/>
      <c r="AHI22" s="6"/>
      <c r="AHJ22" s="6"/>
      <c r="AHK22" s="6"/>
      <c r="AHL22" s="6"/>
      <c r="AHM22" s="6"/>
      <c r="AHN22" s="6"/>
      <c r="AHO22" s="6"/>
      <c r="AHP22" s="6"/>
      <c r="AHQ22" s="6"/>
      <c r="AHR22" s="6"/>
      <c r="AHS22" s="6"/>
      <c r="AHT22" s="6"/>
      <c r="AHU22" s="6"/>
      <c r="AHV22" s="6"/>
      <c r="AHW22" s="6"/>
      <c r="AHX22" s="6"/>
      <c r="AHY22" s="6"/>
      <c r="AHZ22" s="6"/>
      <c r="AIA22" s="6"/>
      <c r="AIB22" s="6"/>
      <c r="AIC22" s="6"/>
      <c r="AID22" s="6"/>
      <c r="AIE22" s="6"/>
      <c r="AIF22" s="6"/>
      <c r="AIG22" s="6"/>
      <c r="AIH22" s="6"/>
      <c r="AII22" s="6"/>
      <c r="AIJ22" s="6"/>
      <c r="AIK22" s="6"/>
      <c r="AIL22" s="6"/>
      <c r="AIM22" s="6"/>
      <c r="AIN22" s="6"/>
      <c r="AIO22" s="6"/>
      <c r="AIP22" s="6"/>
      <c r="AIQ22" s="6"/>
      <c r="AIR22" s="6"/>
      <c r="AIS22" s="6"/>
      <c r="AIT22" s="6"/>
      <c r="AIU22" s="6"/>
      <c r="AIV22" s="6"/>
      <c r="AIW22" s="6"/>
      <c r="AIX22" s="6"/>
      <c r="AIY22" s="6"/>
      <c r="AIZ22" s="6"/>
      <c r="AJA22" s="6"/>
      <c r="AJB22" s="6"/>
      <c r="AJC22" s="6"/>
      <c r="AJD22" s="6"/>
      <c r="AJE22" s="6"/>
      <c r="AJF22" s="6"/>
      <c r="AJG22" s="6"/>
      <c r="AJH22" s="6"/>
      <c r="AJI22" s="6"/>
      <c r="AJJ22" s="6"/>
      <c r="AJK22" s="6"/>
      <c r="AJL22" s="6"/>
      <c r="AJM22" s="6"/>
      <c r="AJN22" s="6"/>
      <c r="AJO22" s="6"/>
      <c r="AJP22" s="6"/>
      <c r="AJQ22" s="6"/>
      <c r="AJR22" s="6"/>
      <c r="AJS22" s="6"/>
      <c r="AJT22" s="6"/>
      <c r="AJU22" s="6"/>
      <c r="AJV22" s="6"/>
      <c r="AJW22" s="6"/>
      <c r="AJX22" s="6"/>
      <c r="AJY22" s="6"/>
      <c r="AJZ22" s="6"/>
      <c r="AKA22" s="6"/>
      <c r="AKB22" s="6"/>
      <c r="AKC22" s="6"/>
      <c r="AKD22" s="6"/>
      <c r="AKE22" s="6"/>
      <c r="AKF22" s="6"/>
      <c r="AKG22" s="6"/>
      <c r="AKH22" s="6"/>
      <c r="AKI22" s="6"/>
      <c r="AKJ22" s="6"/>
      <c r="AKK22" s="6"/>
      <c r="AKL22" s="6"/>
      <c r="AKM22" s="6"/>
      <c r="AKN22" s="6"/>
      <c r="AKO22" s="6"/>
      <c r="AKP22" s="6"/>
      <c r="AKQ22" s="6"/>
      <c r="AKR22" s="6"/>
      <c r="AKS22" s="6"/>
      <c r="AKT22" s="6"/>
      <c r="AKU22" s="6"/>
      <c r="AKV22" s="6"/>
      <c r="AKW22" s="6"/>
      <c r="AKX22" s="6"/>
      <c r="AKY22" s="6"/>
      <c r="AKZ22" s="6"/>
      <c r="ALA22" s="6"/>
      <c r="ALB22" s="6"/>
      <c r="ALC22" s="6"/>
      <c r="ALD22" s="6"/>
      <c r="ALE22" s="6"/>
      <c r="ALF22" s="6"/>
      <c r="ALG22" s="6"/>
      <c r="ALH22" s="6"/>
      <c r="ALI22" s="6"/>
      <c r="ALJ22" s="6"/>
      <c r="ALK22" s="6"/>
      <c r="ALL22" s="6"/>
      <c r="ALM22" s="6"/>
      <c r="ALN22" s="6"/>
      <c r="ALO22" s="6"/>
      <c r="ALP22" s="6"/>
      <c r="ALQ22" s="6"/>
      <c r="ALR22" s="6"/>
      <c r="ALS22" s="6"/>
      <c r="ALT22" s="6"/>
      <c r="ALU22" s="6"/>
      <c r="ALV22" s="6"/>
      <c r="ALW22" s="6"/>
      <c r="ALX22" s="6"/>
      <c r="ALY22" s="6"/>
      <c r="ALZ22" s="6"/>
      <c r="AMA22" s="6"/>
      <c r="AMB22" s="6"/>
      <c r="AMC22" s="6"/>
      <c r="AMD22" s="6"/>
      <c r="AME22" s="6"/>
      <c r="AMF22" s="6"/>
      <c r="AMG22" s="6"/>
      <c r="AMH22" s="6"/>
      <c r="AMI22" s="6"/>
      <c r="AMJ22" s="6"/>
      <c r="AMK22" s="6"/>
      <c r="AML22" s="6"/>
      <c r="AMM22" s="6"/>
      <c r="AMN22" s="6"/>
      <c r="AMO22" s="6"/>
      <c r="AMP22" s="6"/>
      <c r="AMQ22" s="6"/>
    </row>
    <row r="23" spans="1:1031" ht="12.75" customHeight="1">
      <c r="A23">
        <v>3</v>
      </c>
      <c r="B23" t="s">
        <v>56</v>
      </c>
      <c r="C23" s="6" t="s">
        <v>36</v>
      </c>
      <c r="D23" s="4">
        <v>117.2</v>
      </c>
      <c r="E23" s="4">
        <v>39</v>
      </c>
      <c r="F23" s="4">
        <v>33</v>
      </c>
      <c r="G23" s="4">
        <v>43</v>
      </c>
      <c r="H23" s="4">
        <v>115</v>
      </c>
      <c r="I23" s="5">
        <v>1.3</v>
      </c>
      <c r="J23" s="5">
        <v>0</v>
      </c>
      <c r="K23" s="5">
        <v>0.5</v>
      </c>
      <c r="L23" s="6"/>
      <c r="M23" s="6">
        <f>ABS(D23-H23)</f>
        <v>2.2000000000000028</v>
      </c>
      <c r="N23" s="6"/>
      <c r="O23" s="6" t="s">
        <v>37</v>
      </c>
      <c r="P23" s="4">
        <v>869</v>
      </c>
      <c r="Q23" s="4">
        <v>3013.75</v>
      </c>
      <c r="R23" s="4">
        <f>Table1[[#This Row],[max]]-Table1[[#This Row],[min]]</f>
        <v>2144.75</v>
      </c>
      <c r="S23" s="4">
        <f>VLOOKUP(Table1[[#This Row],[finger]],fingerMaxMin[],3)-Table1[[#This Row],[max]]</f>
        <v>-5.75</v>
      </c>
      <c r="T23" s="7">
        <f>P23/scale</f>
        <v>46.775756270858004</v>
      </c>
      <c r="U23" s="7">
        <f>Q23/scale</f>
        <v>162.22144471956076</v>
      </c>
      <c r="V23" s="28">
        <f>Table1[[#This Row],[scaled max]]-Table1[[#This Row],[scaled min]]</f>
        <v>115.44568844870275</v>
      </c>
      <c r="W23" s="28">
        <f>(VLOOKUP(Table1[[#This Row],[finger]],fingerMaxMin[],3)/scale)-T23</f>
        <v>115.13618258154807</v>
      </c>
      <c r="X23" s="8">
        <f>SIN(RADIANS(T23))</f>
        <v>0.72867890777254141</v>
      </c>
      <c r="Y23" s="8">
        <f>SIN(RADIANS(U23))</f>
        <v>0.30533891965307902</v>
      </c>
      <c r="Z23" s="6"/>
      <c r="AA23">
        <f>COS(RADIANS(T23))</f>
        <v>0.68485549524510358</v>
      </c>
      <c r="AB23">
        <f>COS(RADIANS(U23))</f>
        <v>-0.95224374198263473</v>
      </c>
      <c r="AC23" s="6"/>
      <c r="AD23" s="6">
        <f>P23/Q23</f>
        <v>0.28834508502695977</v>
      </c>
      <c r="AF23" t="s">
        <v>37</v>
      </c>
      <c r="AG23">
        <v>1810.33</v>
      </c>
      <c r="AH23">
        <v>2131.44</v>
      </c>
      <c r="AI23" s="6">
        <f>Table1[[#This Row],[Smax]]-Table1[[#This Row],[Smin]]</f>
        <v>321.11000000000013</v>
      </c>
      <c r="AJ23" s="6">
        <f>AVERAGE(Table1[[#This Row],[Smin]:[Smax]])</f>
        <v>1970.885</v>
      </c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"/>
      <c r="GK23" s="6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6"/>
      <c r="HU23" s="6"/>
      <c r="HV23" s="6"/>
      <c r="HW23" s="6"/>
      <c r="HX23" s="6"/>
      <c r="HY23" s="6"/>
      <c r="HZ23" s="6"/>
      <c r="IA23" s="6"/>
      <c r="IB23" s="6"/>
      <c r="IC23" s="6"/>
      <c r="ID23" s="6"/>
      <c r="IE23" s="6"/>
      <c r="IF23" s="6"/>
      <c r="IG23" s="6"/>
      <c r="IH23" s="6"/>
      <c r="II23" s="6"/>
      <c r="IJ23" s="6"/>
      <c r="IK23" s="6"/>
      <c r="IL23" s="6"/>
      <c r="IM23" s="6"/>
      <c r="IN23" s="6"/>
      <c r="IO23" s="6"/>
      <c r="IP23" s="6"/>
      <c r="IQ23" s="6"/>
      <c r="IR23" s="6"/>
      <c r="IS23" s="6"/>
      <c r="IT23" s="6"/>
      <c r="IU23" s="6"/>
      <c r="IV23" s="6"/>
      <c r="IW23" s="6"/>
      <c r="IX23" s="6"/>
      <c r="IY23" s="6"/>
      <c r="IZ23" s="6"/>
      <c r="JA23" s="6"/>
      <c r="JB23" s="6"/>
      <c r="JC23" s="6"/>
      <c r="JD23" s="6"/>
      <c r="JE23" s="6"/>
      <c r="JF23" s="6"/>
      <c r="JG23" s="6"/>
      <c r="JH23" s="6"/>
      <c r="JI23" s="6"/>
      <c r="JJ23" s="6"/>
      <c r="JK23" s="6"/>
      <c r="JL23" s="6"/>
      <c r="JM23" s="6"/>
      <c r="JN23" s="6"/>
      <c r="JO23" s="6"/>
      <c r="JP23" s="6"/>
      <c r="JQ23" s="6"/>
      <c r="JR23" s="6"/>
      <c r="JS23" s="6"/>
      <c r="JT23" s="6"/>
      <c r="JU23" s="6"/>
      <c r="JV23" s="6"/>
      <c r="JW23" s="6"/>
      <c r="JX23" s="6"/>
      <c r="JY23" s="6"/>
      <c r="JZ23" s="6"/>
      <c r="KA23" s="6"/>
      <c r="KB23" s="6"/>
      <c r="KC23" s="6"/>
      <c r="KD23" s="6"/>
      <c r="KE23" s="6"/>
      <c r="KF23" s="6"/>
      <c r="KG23" s="6"/>
      <c r="KH23" s="6"/>
      <c r="KI23" s="6"/>
      <c r="KJ23" s="6"/>
      <c r="KK23" s="6"/>
      <c r="KL23" s="6"/>
      <c r="KM23" s="6"/>
      <c r="KN23" s="6"/>
      <c r="KO23" s="6"/>
      <c r="KP23" s="6"/>
      <c r="KQ23" s="6"/>
      <c r="KR23" s="6"/>
      <c r="KS23" s="6"/>
      <c r="KT23" s="6"/>
      <c r="KU23" s="6"/>
      <c r="KV23" s="6"/>
      <c r="KW23" s="6"/>
      <c r="KX23" s="6"/>
      <c r="KY23" s="6"/>
      <c r="KZ23" s="6"/>
      <c r="LA23" s="6"/>
      <c r="LB23" s="6"/>
      <c r="LC23" s="6"/>
      <c r="LD23" s="6"/>
      <c r="LE23" s="6"/>
      <c r="LF23" s="6"/>
      <c r="LG23" s="6"/>
      <c r="LH23" s="6"/>
      <c r="LI23" s="6"/>
      <c r="LJ23" s="6"/>
      <c r="LK23" s="6"/>
      <c r="LL23" s="6"/>
      <c r="LM23" s="6"/>
      <c r="LN23" s="6"/>
      <c r="LO23" s="6"/>
      <c r="LP23" s="6"/>
      <c r="LQ23" s="6"/>
      <c r="LR23" s="6"/>
      <c r="LS23" s="6"/>
      <c r="LT23" s="6"/>
      <c r="LU23" s="6"/>
      <c r="LV23" s="6"/>
      <c r="LW23" s="6"/>
      <c r="LX23" s="6"/>
      <c r="LY23" s="6"/>
      <c r="LZ23" s="6"/>
      <c r="MA23" s="6"/>
      <c r="MB23" s="6"/>
      <c r="MC23" s="6"/>
      <c r="MD23" s="6"/>
      <c r="ME23" s="6"/>
      <c r="MF23" s="6"/>
      <c r="MG23" s="6"/>
      <c r="MH23" s="6"/>
      <c r="MI23" s="6"/>
      <c r="MJ23" s="6"/>
      <c r="MK23" s="6"/>
      <c r="ML23" s="6"/>
      <c r="MM23" s="6"/>
      <c r="MN23" s="6"/>
      <c r="MO23" s="6"/>
      <c r="MP23" s="6"/>
      <c r="MQ23" s="6"/>
      <c r="MR23" s="6"/>
      <c r="MS23" s="6"/>
      <c r="MT23" s="6"/>
      <c r="MU23" s="6"/>
      <c r="MV23" s="6"/>
      <c r="MW23" s="6"/>
      <c r="MX23" s="6"/>
      <c r="MY23" s="6"/>
      <c r="MZ23" s="6"/>
      <c r="NA23" s="6"/>
      <c r="NB23" s="6"/>
      <c r="NC23" s="6"/>
      <c r="ND23" s="6"/>
      <c r="NE23" s="6"/>
      <c r="NF23" s="6"/>
      <c r="NG23" s="6"/>
      <c r="NH23" s="6"/>
      <c r="NI23" s="6"/>
      <c r="NJ23" s="6"/>
      <c r="NK23" s="6"/>
      <c r="NL23" s="6"/>
      <c r="NM23" s="6"/>
      <c r="NN23" s="6"/>
      <c r="NO23" s="6"/>
      <c r="NP23" s="6"/>
      <c r="NQ23" s="6"/>
      <c r="NR23" s="6"/>
      <c r="NS23" s="6"/>
      <c r="NT23" s="6"/>
      <c r="NU23" s="6"/>
      <c r="NV23" s="6"/>
      <c r="NW23" s="6"/>
      <c r="NX23" s="6"/>
      <c r="NY23" s="6"/>
      <c r="NZ23" s="6"/>
      <c r="OA23" s="6"/>
      <c r="OB23" s="6"/>
      <c r="OC23" s="6"/>
      <c r="OD23" s="6"/>
      <c r="OE23" s="6"/>
      <c r="OF23" s="6"/>
      <c r="OG23" s="6"/>
      <c r="OH23" s="6"/>
      <c r="OI23" s="6"/>
      <c r="OJ23" s="6"/>
      <c r="OK23" s="6"/>
      <c r="OL23" s="6"/>
      <c r="OM23" s="6"/>
      <c r="ON23" s="6"/>
      <c r="OO23" s="6"/>
      <c r="OP23" s="6"/>
      <c r="OQ23" s="6"/>
      <c r="OR23" s="6"/>
      <c r="OS23" s="6"/>
      <c r="OT23" s="6"/>
      <c r="OU23" s="6"/>
      <c r="OV23" s="6"/>
      <c r="OW23" s="6"/>
      <c r="OX23" s="6"/>
      <c r="OY23" s="6"/>
      <c r="OZ23" s="6"/>
      <c r="PA23" s="6"/>
      <c r="PB23" s="6"/>
      <c r="PC23" s="6"/>
      <c r="PD23" s="6"/>
      <c r="PE23" s="6"/>
      <c r="PF23" s="6"/>
      <c r="PG23" s="6"/>
      <c r="PH23" s="6"/>
      <c r="PI23" s="6"/>
      <c r="PJ23" s="6"/>
      <c r="PK23" s="6"/>
      <c r="PL23" s="6"/>
      <c r="PM23" s="6"/>
      <c r="PN23" s="6"/>
      <c r="PO23" s="6"/>
      <c r="PP23" s="6"/>
      <c r="PQ23" s="6"/>
      <c r="PR23" s="6"/>
      <c r="PS23" s="6"/>
      <c r="PT23" s="6"/>
      <c r="PU23" s="6"/>
      <c r="PV23" s="6"/>
      <c r="PW23" s="6"/>
      <c r="PX23" s="6"/>
      <c r="PY23" s="6"/>
      <c r="PZ23" s="6"/>
      <c r="QA23" s="6"/>
      <c r="QB23" s="6"/>
      <c r="QC23" s="6"/>
      <c r="QD23" s="6"/>
      <c r="QE23" s="6"/>
      <c r="QF23" s="6"/>
      <c r="QG23" s="6"/>
      <c r="QH23" s="6"/>
      <c r="QI23" s="6"/>
      <c r="QJ23" s="6"/>
      <c r="QK23" s="6"/>
      <c r="QL23" s="6"/>
      <c r="QM23" s="6"/>
      <c r="QN23" s="6"/>
      <c r="QO23" s="6"/>
      <c r="QP23" s="6"/>
      <c r="QQ23" s="6"/>
      <c r="QR23" s="6"/>
      <c r="QS23" s="6"/>
      <c r="QT23" s="6"/>
      <c r="QU23" s="6"/>
      <c r="QV23" s="6"/>
      <c r="QW23" s="6"/>
      <c r="QX23" s="6"/>
      <c r="QY23" s="6"/>
      <c r="QZ23" s="6"/>
      <c r="RA23" s="6"/>
      <c r="RB23" s="6"/>
      <c r="RC23" s="6"/>
      <c r="RD23" s="6"/>
      <c r="RE23" s="6"/>
      <c r="RF23" s="6"/>
      <c r="RG23" s="6"/>
      <c r="RH23" s="6"/>
      <c r="RI23" s="6"/>
      <c r="RJ23" s="6"/>
      <c r="RK23" s="6"/>
      <c r="RL23" s="6"/>
      <c r="RM23" s="6"/>
      <c r="RN23" s="6"/>
      <c r="RO23" s="6"/>
      <c r="RP23" s="6"/>
      <c r="RQ23" s="6"/>
      <c r="RR23" s="6"/>
      <c r="RS23" s="6"/>
      <c r="RT23" s="6"/>
      <c r="RU23" s="6"/>
      <c r="RV23" s="6"/>
      <c r="RW23" s="6"/>
      <c r="RX23" s="6"/>
      <c r="RY23" s="6"/>
      <c r="RZ23" s="6"/>
      <c r="SA23" s="6"/>
      <c r="SB23" s="6"/>
      <c r="SC23" s="6"/>
      <c r="SD23" s="6"/>
      <c r="SE23" s="6"/>
      <c r="SF23" s="6"/>
      <c r="SG23" s="6"/>
      <c r="SH23" s="6"/>
      <c r="SI23" s="6"/>
      <c r="SJ23" s="6"/>
      <c r="SK23" s="6"/>
      <c r="SL23" s="6"/>
      <c r="SM23" s="6"/>
      <c r="SN23" s="6"/>
      <c r="SO23" s="6"/>
      <c r="SP23" s="6"/>
      <c r="SQ23" s="6"/>
      <c r="SR23" s="6"/>
      <c r="SS23" s="6"/>
      <c r="ST23" s="6"/>
      <c r="SU23" s="6"/>
      <c r="SV23" s="6"/>
      <c r="SW23" s="6"/>
      <c r="SX23" s="6"/>
      <c r="SY23" s="6"/>
      <c r="SZ23" s="6"/>
      <c r="TA23" s="6"/>
      <c r="TB23" s="6"/>
      <c r="TC23" s="6"/>
      <c r="TD23" s="6"/>
      <c r="TE23" s="6"/>
      <c r="TF23" s="6"/>
      <c r="TG23" s="6"/>
      <c r="TH23" s="6"/>
      <c r="TI23" s="6"/>
      <c r="TJ23" s="6"/>
      <c r="TK23" s="6"/>
      <c r="TL23" s="6"/>
      <c r="TM23" s="6"/>
      <c r="TN23" s="6"/>
      <c r="TO23" s="6"/>
      <c r="TP23" s="6"/>
      <c r="TQ23" s="6"/>
      <c r="TR23" s="6"/>
      <c r="TS23" s="6"/>
      <c r="TT23" s="6"/>
      <c r="TU23" s="6"/>
      <c r="TV23" s="6"/>
      <c r="TW23" s="6"/>
      <c r="TX23" s="6"/>
      <c r="TY23" s="6"/>
      <c r="TZ23" s="6"/>
      <c r="UA23" s="6"/>
      <c r="UB23" s="6"/>
      <c r="UC23" s="6"/>
      <c r="UD23" s="6"/>
      <c r="UE23" s="6"/>
      <c r="UF23" s="6"/>
      <c r="UG23" s="6"/>
      <c r="UH23" s="6"/>
      <c r="UI23" s="6"/>
      <c r="UJ23" s="6"/>
      <c r="UK23" s="6"/>
      <c r="UL23" s="6"/>
      <c r="UM23" s="6"/>
      <c r="UN23" s="6"/>
      <c r="UO23" s="6"/>
      <c r="UP23" s="6"/>
      <c r="UQ23" s="6"/>
      <c r="UR23" s="6"/>
      <c r="US23" s="6"/>
      <c r="UT23" s="6"/>
      <c r="UU23" s="6"/>
      <c r="UV23" s="6"/>
      <c r="UW23" s="6"/>
      <c r="UX23" s="6"/>
      <c r="UY23" s="6"/>
      <c r="UZ23" s="6"/>
      <c r="VA23" s="6"/>
      <c r="VB23" s="6"/>
      <c r="VC23" s="6"/>
      <c r="VD23" s="6"/>
      <c r="VE23" s="6"/>
      <c r="VF23" s="6"/>
      <c r="VG23" s="6"/>
      <c r="VH23" s="6"/>
      <c r="VI23" s="6"/>
      <c r="VJ23" s="6"/>
      <c r="VK23" s="6"/>
      <c r="VL23" s="6"/>
      <c r="VM23" s="6"/>
      <c r="VN23" s="6"/>
      <c r="VO23" s="6"/>
      <c r="VP23" s="6"/>
      <c r="VQ23" s="6"/>
      <c r="VR23" s="6"/>
      <c r="VS23" s="6"/>
      <c r="VT23" s="6"/>
      <c r="VU23" s="6"/>
      <c r="VV23" s="6"/>
      <c r="VW23" s="6"/>
      <c r="VX23" s="6"/>
      <c r="VY23" s="6"/>
      <c r="VZ23" s="6"/>
      <c r="WA23" s="6"/>
      <c r="WB23" s="6"/>
      <c r="WC23" s="6"/>
      <c r="WD23" s="6"/>
      <c r="WE23" s="6"/>
      <c r="WF23" s="6"/>
      <c r="WG23" s="6"/>
      <c r="WH23" s="6"/>
      <c r="WI23" s="6"/>
      <c r="WJ23" s="6"/>
      <c r="WK23" s="6"/>
      <c r="WL23" s="6"/>
      <c r="WM23" s="6"/>
      <c r="WN23" s="6"/>
      <c r="WO23" s="6"/>
      <c r="WP23" s="6"/>
      <c r="WQ23" s="6"/>
      <c r="WR23" s="6"/>
      <c r="WS23" s="6"/>
      <c r="WT23" s="6"/>
      <c r="WU23" s="6"/>
      <c r="WV23" s="6"/>
      <c r="WW23" s="6"/>
      <c r="WX23" s="6"/>
      <c r="WY23" s="6"/>
      <c r="WZ23" s="6"/>
      <c r="XA23" s="6"/>
      <c r="XB23" s="6"/>
      <c r="XC23" s="6"/>
      <c r="XD23" s="6"/>
      <c r="XE23" s="6"/>
      <c r="XF23" s="6"/>
      <c r="XG23" s="6"/>
      <c r="XH23" s="6"/>
      <c r="XI23" s="6"/>
      <c r="XJ23" s="6"/>
      <c r="XK23" s="6"/>
      <c r="XL23" s="6"/>
      <c r="XM23" s="6"/>
      <c r="XN23" s="6"/>
      <c r="XO23" s="6"/>
      <c r="XP23" s="6"/>
      <c r="XQ23" s="6"/>
      <c r="XR23" s="6"/>
      <c r="XS23" s="6"/>
      <c r="XT23" s="6"/>
      <c r="XU23" s="6"/>
      <c r="XV23" s="6"/>
      <c r="XW23" s="6"/>
      <c r="XX23" s="6"/>
      <c r="XY23" s="6"/>
      <c r="XZ23" s="6"/>
      <c r="YA23" s="6"/>
      <c r="YB23" s="6"/>
      <c r="YC23" s="6"/>
      <c r="YD23" s="6"/>
      <c r="YE23" s="6"/>
      <c r="YF23" s="6"/>
      <c r="YG23" s="6"/>
      <c r="YH23" s="6"/>
      <c r="YI23" s="6"/>
      <c r="YJ23" s="6"/>
      <c r="YK23" s="6"/>
      <c r="YL23" s="6"/>
      <c r="YM23" s="6"/>
      <c r="YN23" s="6"/>
      <c r="YO23" s="6"/>
      <c r="YP23" s="6"/>
      <c r="YQ23" s="6"/>
      <c r="YR23" s="6"/>
      <c r="YS23" s="6"/>
      <c r="YT23" s="6"/>
      <c r="YU23" s="6"/>
      <c r="YV23" s="6"/>
      <c r="YW23" s="6"/>
      <c r="YX23" s="6"/>
      <c r="YY23" s="6"/>
      <c r="YZ23" s="6"/>
      <c r="ZA23" s="6"/>
      <c r="ZB23" s="6"/>
      <c r="ZC23" s="6"/>
      <c r="ZD23" s="6"/>
      <c r="ZE23" s="6"/>
      <c r="ZF23" s="6"/>
      <c r="ZG23" s="6"/>
      <c r="ZH23" s="6"/>
      <c r="ZI23" s="6"/>
      <c r="ZJ23" s="6"/>
      <c r="ZK23" s="6"/>
      <c r="ZL23" s="6"/>
      <c r="ZM23" s="6"/>
      <c r="ZN23" s="6"/>
      <c r="ZO23" s="6"/>
      <c r="ZP23" s="6"/>
      <c r="ZQ23" s="6"/>
      <c r="ZR23" s="6"/>
      <c r="ZS23" s="6"/>
      <c r="ZT23" s="6"/>
      <c r="ZU23" s="6"/>
      <c r="ZV23" s="6"/>
      <c r="ZW23" s="6"/>
      <c r="ZX23" s="6"/>
      <c r="ZY23" s="6"/>
      <c r="ZZ23" s="6"/>
      <c r="AAA23" s="6"/>
      <c r="AAB23" s="6"/>
      <c r="AAC23" s="6"/>
      <c r="AAD23" s="6"/>
      <c r="AAE23" s="6"/>
      <c r="AAF23" s="6"/>
      <c r="AAG23" s="6"/>
      <c r="AAH23" s="6"/>
      <c r="AAI23" s="6"/>
      <c r="AAJ23" s="6"/>
      <c r="AAK23" s="6"/>
      <c r="AAL23" s="6"/>
      <c r="AAM23" s="6"/>
      <c r="AAN23" s="6"/>
      <c r="AAO23" s="6"/>
      <c r="AAP23" s="6"/>
      <c r="AAQ23" s="6"/>
      <c r="AAR23" s="6"/>
      <c r="AAS23" s="6"/>
      <c r="AAT23" s="6"/>
      <c r="AAU23" s="6"/>
      <c r="AAV23" s="6"/>
      <c r="AAW23" s="6"/>
      <c r="AAX23" s="6"/>
      <c r="AAY23" s="6"/>
      <c r="AAZ23" s="6"/>
      <c r="ABA23" s="6"/>
      <c r="ABB23" s="6"/>
      <c r="ABC23" s="6"/>
      <c r="ABD23" s="6"/>
      <c r="ABE23" s="6"/>
      <c r="ABF23" s="6"/>
      <c r="ABG23" s="6"/>
      <c r="ABH23" s="6"/>
      <c r="ABI23" s="6"/>
      <c r="ABJ23" s="6"/>
      <c r="ABK23" s="6"/>
      <c r="ABL23" s="6"/>
      <c r="ABM23" s="6"/>
      <c r="ABN23" s="6"/>
      <c r="ABO23" s="6"/>
      <c r="ABP23" s="6"/>
      <c r="ABQ23" s="6"/>
      <c r="ABR23" s="6"/>
      <c r="ABS23" s="6"/>
      <c r="ABT23" s="6"/>
      <c r="ABU23" s="6"/>
      <c r="ABV23" s="6"/>
      <c r="ABW23" s="6"/>
      <c r="ABX23" s="6"/>
      <c r="ABY23" s="6"/>
      <c r="ABZ23" s="6"/>
      <c r="ACA23" s="6"/>
      <c r="ACB23" s="6"/>
      <c r="ACC23" s="6"/>
      <c r="ACD23" s="6"/>
      <c r="ACE23" s="6"/>
      <c r="ACF23" s="6"/>
      <c r="ACG23" s="6"/>
      <c r="ACH23" s="6"/>
      <c r="ACI23" s="6"/>
      <c r="ACJ23" s="6"/>
      <c r="ACK23" s="6"/>
      <c r="ACL23" s="6"/>
      <c r="ACM23" s="6"/>
      <c r="ACN23" s="6"/>
      <c r="ACO23" s="6"/>
      <c r="ACP23" s="6"/>
      <c r="ACQ23" s="6"/>
      <c r="ACR23" s="6"/>
      <c r="ACS23" s="6"/>
      <c r="ACT23" s="6"/>
      <c r="ACU23" s="6"/>
      <c r="ACV23" s="6"/>
      <c r="ACW23" s="6"/>
      <c r="ACX23" s="6"/>
      <c r="ACY23" s="6"/>
      <c r="ACZ23" s="6"/>
      <c r="ADA23" s="6"/>
      <c r="ADB23" s="6"/>
      <c r="ADC23" s="6"/>
      <c r="ADD23" s="6"/>
      <c r="ADE23" s="6"/>
      <c r="ADF23" s="6"/>
      <c r="ADG23" s="6"/>
      <c r="ADH23" s="6"/>
      <c r="ADI23" s="6"/>
      <c r="ADJ23" s="6"/>
      <c r="ADK23" s="6"/>
      <c r="ADL23" s="6"/>
      <c r="ADM23" s="6"/>
      <c r="ADN23" s="6"/>
      <c r="ADO23" s="6"/>
      <c r="ADP23" s="6"/>
      <c r="ADQ23" s="6"/>
      <c r="ADR23" s="6"/>
      <c r="ADS23" s="6"/>
      <c r="ADT23" s="6"/>
      <c r="ADU23" s="6"/>
      <c r="ADV23" s="6"/>
      <c r="ADW23" s="6"/>
      <c r="ADX23" s="6"/>
      <c r="ADY23" s="6"/>
      <c r="ADZ23" s="6"/>
      <c r="AEA23" s="6"/>
      <c r="AEB23" s="6"/>
      <c r="AEC23" s="6"/>
      <c r="AED23" s="6"/>
      <c r="AEE23" s="6"/>
      <c r="AEF23" s="6"/>
      <c r="AEG23" s="6"/>
      <c r="AEH23" s="6"/>
      <c r="AEI23" s="6"/>
      <c r="AEJ23" s="6"/>
      <c r="AEK23" s="6"/>
      <c r="AEL23" s="6"/>
      <c r="AEM23" s="6"/>
      <c r="AEN23" s="6"/>
      <c r="AEO23" s="6"/>
      <c r="AEP23" s="6"/>
      <c r="AEQ23" s="6"/>
      <c r="AER23" s="6"/>
      <c r="AES23" s="6"/>
      <c r="AET23" s="6"/>
      <c r="AEU23" s="6"/>
      <c r="AEV23" s="6"/>
      <c r="AEW23" s="6"/>
      <c r="AEX23" s="6"/>
      <c r="AEY23" s="6"/>
      <c r="AEZ23" s="6"/>
      <c r="AFA23" s="6"/>
      <c r="AFB23" s="6"/>
      <c r="AFC23" s="6"/>
      <c r="AFD23" s="6"/>
      <c r="AFE23" s="6"/>
      <c r="AFF23" s="6"/>
      <c r="AFG23" s="6"/>
      <c r="AFH23" s="6"/>
      <c r="AFI23" s="6"/>
      <c r="AFJ23" s="6"/>
      <c r="AFK23" s="6"/>
      <c r="AFL23" s="6"/>
      <c r="AFM23" s="6"/>
      <c r="AFN23" s="6"/>
      <c r="AFO23" s="6"/>
      <c r="AFP23" s="6"/>
      <c r="AFQ23" s="6"/>
      <c r="AFR23" s="6"/>
      <c r="AFS23" s="6"/>
      <c r="AFT23" s="6"/>
      <c r="AFU23" s="6"/>
      <c r="AFV23" s="6"/>
      <c r="AFW23" s="6"/>
      <c r="AFX23" s="6"/>
      <c r="AFY23" s="6"/>
      <c r="AFZ23" s="6"/>
      <c r="AGA23" s="6"/>
      <c r="AGB23" s="6"/>
      <c r="AGC23" s="6"/>
      <c r="AGD23" s="6"/>
      <c r="AGE23" s="6"/>
      <c r="AGF23" s="6"/>
      <c r="AGG23" s="6"/>
      <c r="AGH23" s="6"/>
      <c r="AGI23" s="6"/>
      <c r="AGJ23" s="6"/>
      <c r="AGK23" s="6"/>
      <c r="AGL23" s="6"/>
      <c r="AGM23" s="6"/>
      <c r="AGN23" s="6"/>
      <c r="AGO23" s="6"/>
      <c r="AGP23" s="6"/>
      <c r="AGQ23" s="6"/>
      <c r="AGR23" s="6"/>
      <c r="AGS23" s="6"/>
      <c r="AGT23" s="6"/>
      <c r="AGU23" s="6"/>
      <c r="AGV23" s="6"/>
      <c r="AGW23" s="6"/>
      <c r="AGX23" s="6"/>
      <c r="AGY23" s="6"/>
      <c r="AGZ23" s="6"/>
      <c r="AHA23" s="6"/>
      <c r="AHB23" s="6"/>
      <c r="AHC23" s="6"/>
      <c r="AHD23" s="6"/>
      <c r="AHE23" s="6"/>
      <c r="AHF23" s="6"/>
      <c r="AHG23" s="6"/>
      <c r="AHH23" s="6"/>
      <c r="AHI23" s="6"/>
      <c r="AHJ23" s="6"/>
      <c r="AHK23" s="6"/>
      <c r="AHL23" s="6"/>
      <c r="AHM23" s="6"/>
      <c r="AHN23" s="6"/>
      <c r="AHO23" s="6"/>
      <c r="AHP23" s="6"/>
      <c r="AHQ23" s="6"/>
      <c r="AHR23" s="6"/>
      <c r="AHS23" s="6"/>
      <c r="AHT23" s="6"/>
      <c r="AHU23" s="6"/>
      <c r="AHV23" s="6"/>
      <c r="AHW23" s="6"/>
      <c r="AHX23" s="6"/>
      <c r="AHY23" s="6"/>
      <c r="AHZ23" s="6"/>
      <c r="AIA23" s="6"/>
      <c r="AIB23" s="6"/>
      <c r="AIC23" s="6"/>
      <c r="AID23" s="6"/>
      <c r="AIE23" s="6"/>
      <c r="AIF23" s="6"/>
      <c r="AIG23" s="6"/>
      <c r="AIH23" s="6"/>
      <c r="AII23" s="6"/>
      <c r="AIJ23" s="6"/>
      <c r="AIK23" s="6"/>
      <c r="AIL23" s="6"/>
      <c r="AIM23" s="6"/>
      <c r="AIN23" s="6"/>
      <c r="AIO23" s="6"/>
      <c r="AIP23" s="6"/>
      <c r="AIQ23" s="6"/>
      <c r="AIR23" s="6"/>
      <c r="AIS23" s="6"/>
      <c r="AIT23" s="6"/>
      <c r="AIU23" s="6"/>
      <c r="AIV23" s="6"/>
      <c r="AIW23" s="6"/>
      <c r="AIX23" s="6"/>
      <c r="AIY23" s="6"/>
      <c r="AIZ23" s="6"/>
      <c r="AJA23" s="6"/>
      <c r="AJB23" s="6"/>
      <c r="AJC23" s="6"/>
      <c r="AJD23" s="6"/>
      <c r="AJE23" s="6"/>
      <c r="AJF23" s="6"/>
      <c r="AJG23" s="6"/>
      <c r="AJH23" s="6"/>
      <c r="AJI23" s="6"/>
      <c r="AJJ23" s="6"/>
      <c r="AJK23" s="6"/>
      <c r="AJL23" s="6"/>
      <c r="AJM23" s="6"/>
      <c r="AJN23" s="6"/>
      <c r="AJO23" s="6"/>
      <c r="AJP23" s="6"/>
      <c r="AJQ23" s="6"/>
      <c r="AJR23" s="6"/>
      <c r="AJS23" s="6"/>
      <c r="AJT23" s="6"/>
      <c r="AJU23" s="6"/>
      <c r="AJV23" s="6"/>
      <c r="AJW23" s="6"/>
      <c r="AJX23" s="6"/>
      <c r="AJY23" s="6"/>
      <c r="AJZ23" s="6"/>
      <c r="AKA23" s="6"/>
      <c r="AKB23" s="6"/>
      <c r="AKC23" s="6"/>
      <c r="AKD23" s="6"/>
      <c r="AKE23" s="6"/>
      <c r="AKF23" s="6"/>
      <c r="AKG23" s="6"/>
      <c r="AKH23" s="6"/>
      <c r="AKI23" s="6"/>
      <c r="AKJ23" s="6"/>
      <c r="AKK23" s="6"/>
      <c r="AKL23" s="6"/>
      <c r="AKM23" s="6"/>
      <c r="AKN23" s="6"/>
      <c r="AKO23" s="6"/>
      <c r="AKP23" s="6"/>
      <c r="AKQ23" s="6"/>
      <c r="AKR23" s="6"/>
      <c r="AKS23" s="6"/>
      <c r="AKT23" s="6"/>
      <c r="AKU23" s="6"/>
      <c r="AKV23" s="6"/>
      <c r="AKW23" s="6"/>
      <c r="AKX23" s="6"/>
      <c r="AKY23" s="6"/>
      <c r="AKZ23" s="6"/>
      <c r="ALA23" s="6"/>
      <c r="ALB23" s="6"/>
      <c r="ALC23" s="6"/>
      <c r="ALD23" s="6"/>
      <c r="ALE23" s="6"/>
      <c r="ALF23" s="6"/>
      <c r="ALG23" s="6"/>
      <c r="ALH23" s="6"/>
      <c r="ALI23" s="6"/>
      <c r="ALJ23" s="6"/>
      <c r="ALK23" s="6"/>
      <c r="ALL23" s="6"/>
      <c r="ALM23" s="6"/>
      <c r="ALN23" s="6"/>
      <c r="ALO23" s="6"/>
      <c r="ALP23" s="6"/>
      <c r="ALQ23" s="6"/>
      <c r="ALR23" s="6"/>
      <c r="ALS23" s="6"/>
      <c r="ALT23" s="6"/>
      <c r="ALU23" s="6"/>
      <c r="ALV23" s="6"/>
      <c r="ALW23" s="6"/>
      <c r="ALX23" s="6"/>
      <c r="ALY23" s="6"/>
      <c r="ALZ23" s="6"/>
      <c r="AMA23" s="6"/>
      <c r="AMB23" s="6"/>
      <c r="AMC23" s="6"/>
      <c r="AMD23" s="6"/>
      <c r="AME23" s="6"/>
      <c r="AMF23" s="6"/>
      <c r="AMG23" s="6"/>
      <c r="AMH23" s="6"/>
      <c r="AMI23" s="6"/>
      <c r="AMJ23" s="6"/>
      <c r="AMK23" s="6"/>
      <c r="AML23" s="6"/>
      <c r="AMM23" s="6"/>
      <c r="AMN23" s="6"/>
      <c r="AMO23" s="6"/>
      <c r="AMP23" s="6"/>
      <c r="AMQ23" s="6"/>
    </row>
    <row r="24" spans="1:1031" ht="12.75" customHeight="1">
      <c r="A24">
        <v>3</v>
      </c>
      <c r="B24" t="s">
        <v>164</v>
      </c>
      <c r="C24" s="6" t="s">
        <v>30</v>
      </c>
      <c r="D24" s="4">
        <v>117.1</v>
      </c>
      <c r="E24" s="4">
        <v>38</v>
      </c>
      <c r="F24" s="4">
        <v>37</v>
      </c>
      <c r="G24" s="4">
        <v>41</v>
      </c>
      <c r="H24" s="4">
        <v>116</v>
      </c>
      <c r="I24" s="5">
        <v>1.1000000000000001</v>
      </c>
      <c r="J24" s="5">
        <v>0</v>
      </c>
      <c r="K24" s="5">
        <v>0.6</v>
      </c>
      <c r="L24" s="6"/>
      <c r="M24" s="6">
        <f>ABS(D24-H24)</f>
        <v>1.0999999999999943</v>
      </c>
      <c r="N24" s="6"/>
      <c r="O24" s="6" t="s">
        <v>31</v>
      </c>
      <c r="P24" s="4">
        <v>968.57</v>
      </c>
      <c r="Q24" s="4">
        <v>3011.04</v>
      </c>
      <c r="R24" s="4">
        <f>Table1[[#This Row],[max]]-Table1[[#This Row],[min]]</f>
        <v>2042.4699999999998</v>
      </c>
      <c r="S24" s="4">
        <f>VLOOKUP(Table1[[#This Row],[finger]],fingerMaxMin[],3)-Table1[[#This Row],[max]]</f>
        <v>-3.0399999999999636</v>
      </c>
      <c r="T24" s="7">
        <f>P24/scale</f>
        <v>52.135321347830775</v>
      </c>
      <c r="U24" s="7">
        <f>Q24/scale</f>
        <v>162.07557325869308</v>
      </c>
      <c r="V24" s="28">
        <f>Table1[[#This Row],[scaled max]]-Table1[[#This Row],[scaled min]]</f>
        <v>109.94025191086232</v>
      </c>
      <c r="W24" s="28">
        <f>(VLOOKUP(Table1[[#This Row],[finger]],fingerMaxMin[],3)/scale)-T24</f>
        <v>109.77661750457531</v>
      </c>
      <c r="X24" s="8">
        <f>SIN(RADIANS(T24))</f>
        <v>0.78946262561031411</v>
      </c>
      <c r="Y24" s="8">
        <f>SIN(RADIANS(U24))</f>
        <v>0.30776228030154573</v>
      </c>
      <c r="Z24" s="6"/>
      <c r="AA24">
        <f>COS(RADIANS(T24))</f>
        <v>0.61379863372646004</v>
      </c>
      <c r="AB24">
        <f>COS(RADIANS(U24))</f>
        <v>-0.95146328296135152</v>
      </c>
      <c r="AC24" s="6"/>
      <c r="AD24" s="6">
        <f>P24/Q24</f>
        <v>0.32167291035655454</v>
      </c>
      <c r="AF24" t="s">
        <v>31</v>
      </c>
      <c r="AG24">
        <v>1866.55</v>
      </c>
      <c r="AH24">
        <v>2179.9</v>
      </c>
      <c r="AI24" s="6">
        <f>Table1[[#This Row],[Smax]]-Table1[[#This Row],[Smin]]</f>
        <v>313.35000000000014</v>
      </c>
      <c r="AJ24" s="6">
        <f>AVERAGE(Table1[[#This Row],[Smin]:[Smax]])</f>
        <v>2023.2249999999999</v>
      </c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6"/>
      <c r="NJ24" s="6"/>
      <c r="NK24" s="6"/>
      <c r="NL24" s="6"/>
      <c r="NM24" s="6"/>
      <c r="NN24" s="6"/>
      <c r="NO24" s="6"/>
      <c r="NP24" s="6"/>
      <c r="NQ24" s="6"/>
      <c r="NR24" s="6"/>
      <c r="NS24" s="6"/>
      <c r="NT24" s="6"/>
      <c r="NU24" s="6"/>
      <c r="NV24" s="6"/>
      <c r="NW24" s="6"/>
      <c r="NX24" s="6"/>
      <c r="NY24" s="6"/>
      <c r="NZ24" s="6"/>
      <c r="OA24" s="6"/>
      <c r="OB24" s="6"/>
      <c r="OC24" s="6"/>
      <c r="OD24" s="6"/>
      <c r="OE24" s="6"/>
      <c r="OF24" s="6"/>
      <c r="OG24" s="6"/>
      <c r="OH24" s="6"/>
      <c r="OI24" s="6"/>
      <c r="OJ24" s="6"/>
      <c r="OK24" s="6"/>
      <c r="OL24" s="6"/>
      <c r="OM24" s="6"/>
      <c r="ON24" s="6"/>
      <c r="OO24" s="6"/>
      <c r="OP24" s="6"/>
      <c r="OQ24" s="6"/>
      <c r="OR24" s="6"/>
      <c r="OS24" s="6"/>
      <c r="OT24" s="6"/>
      <c r="OU24" s="6"/>
      <c r="OV24" s="6"/>
      <c r="OW24" s="6"/>
      <c r="OX24" s="6"/>
      <c r="OY24" s="6"/>
      <c r="OZ24" s="6"/>
      <c r="PA24" s="6"/>
      <c r="PB24" s="6"/>
      <c r="PC24" s="6"/>
      <c r="PD24" s="6"/>
      <c r="PE24" s="6"/>
      <c r="PF24" s="6"/>
      <c r="PG24" s="6"/>
      <c r="PH24" s="6"/>
      <c r="PI24" s="6"/>
      <c r="PJ24" s="6"/>
      <c r="PK24" s="6"/>
      <c r="PL24" s="6"/>
      <c r="PM24" s="6"/>
      <c r="PN24" s="6"/>
      <c r="PO24" s="6"/>
      <c r="PP24" s="6"/>
      <c r="PQ24" s="6"/>
      <c r="PR24" s="6"/>
      <c r="PS24" s="6"/>
      <c r="PT24" s="6"/>
      <c r="PU24" s="6"/>
      <c r="PV24" s="6"/>
      <c r="PW24" s="6"/>
      <c r="PX24" s="6"/>
      <c r="PY24" s="6"/>
      <c r="PZ24" s="6"/>
      <c r="QA24" s="6"/>
      <c r="QB24" s="6"/>
      <c r="QC24" s="6"/>
      <c r="QD24" s="6"/>
      <c r="QE24" s="6"/>
      <c r="QF24" s="6"/>
      <c r="QG24" s="6"/>
      <c r="QH24" s="6"/>
      <c r="QI24" s="6"/>
      <c r="QJ24" s="6"/>
      <c r="QK24" s="6"/>
      <c r="QL24" s="6"/>
      <c r="QM24" s="6"/>
      <c r="QN24" s="6"/>
      <c r="QO24" s="6"/>
      <c r="QP24" s="6"/>
      <c r="QQ24" s="6"/>
      <c r="QR24" s="6"/>
      <c r="QS24" s="6"/>
      <c r="QT24" s="6"/>
      <c r="QU24" s="6"/>
      <c r="QV24" s="6"/>
      <c r="QW24" s="6"/>
      <c r="QX24" s="6"/>
      <c r="QY24" s="6"/>
      <c r="QZ24" s="6"/>
      <c r="RA24" s="6"/>
      <c r="RB24" s="6"/>
      <c r="RC24" s="6"/>
      <c r="RD24" s="6"/>
      <c r="RE24" s="6"/>
      <c r="RF24" s="6"/>
      <c r="RG24" s="6"/>
      <c r="RH24" s="6"/>
      <c r="RI24" s="6"/>
      <c r="RJ24" s="6"/>
      <c r="RK24" s="6"/>
      <c r="RL24" s="6"/>
      <c r="RM24" s="6"/>
      <c r="RN24" s="6"/>
      <c r="RO24" s="6"/>
      <c r="RP24" s="6"/>
      <c r="RQ24" s="6"/>
      <c r="RR24" s="6"/>
      <c r="RS24" s="6"/>
      <c r="RT24" s="6"/>
      <c r="RU24" s="6"/>
      <c r="RV24" s="6"/>
      <c r="RW24" s="6"/>
      <c r="RX24" s="6"/>
      <c r="RY24" s="6"/>
      <c r="RZ24" s="6"/>
      <c r="SA24" s="6"/>
      <c r="SB24" s="6"/>
      <c r="SC24" s="6"/>
      <c r="SD24" s="6"/>
      <c r="SE24" s="6"/>
      <c r="SF24" s="6"/>
      <c r="SG24" s="6"/>
      <c r="SH24" s="6"/>
      <c r="SI24" s="6"/>
      <c r="SJ24" s="6"/>
      <c r="SK24" s="6"/>
      <c r="SL24" s="6"/>
      <c r="SM24" s="6"/>
      <c r="SN24" s="6"/>
      <c r="SO24" s="6"/>
      <c r="SP24" s="6"/>
      <c r="SQ24" s="6"/>
      <c r="SR24" s="6"/>
      <c r="SS24" s="6"/>
      <c r="ST24" s="6"/>
      <c r="SU24" s="6"/>
      <c r="SV24" s="6"/>
      <c r="SW24" s="6"/>
      <c r="SX24" s="6"/>
      <c r="SY24" s="6"/>
      <c r="SZ24" s="6"/>
      <c r="TA24" s="6"/>
      <c r="TB24" s="6"/>
      <c r="TC24" s="6"/>
      <c r="TD24" s="6"/>
      <c r="TE24" s="6"/>
      <c r="TF24" s="6"/>
      <c r="TG24" s="6"/>
      <c r="TH24" s="6"/>
      <c r="TI24" s="6"/>
      <c r="TJ24" s="6"/>
      <c r="TK24" s="6"/>
      <c r="TL24" s="6"/>
      <c r="TM24" s="6"/>
      <c r="TN24" s="6"/>
      <c r="TO24" s="6"/>
      <c r="TP24" s="6"/>
      <c r="TQ24" s="6"/>
      <c r="TR24" s="6"/>
      <c r="TS24" s="6"/>
      <c r="TT24" s="6"/>
      <c r="TU24" s="6"/>
      <c r="TV24" s="6"/>
      <c r="TW24" s="6"/>
      <c r="TX24" s="6"/>
      <c r="TY24" s="6"/>
      <c r="TZ24" s="6"/>
      <c r="UA24" s="6"/>
      <c r="UB24" s="6"/>
      <c r="UC24" s="6"/>
      <c r="UD24" s="6"/>
      <c r="UE24" s="6"/>
      <c r="UF24" s="6"/>
      <c r="UG24" s="6"/>
      <c r="UH24" s="6"/>
      <c r="UI24" s="6"/>
      <c r="UJ24" s="6"/>
      <c r="UK24" s="6"/>
      <c r="UL24" s="6"/>
      <c r="UM24" s="6"/>
      <c r="UN24" s="6"/>
      <c r="UO24" s="6"/>
      <c r="UP24" s="6"/>
      <c r="UQ24" s="6"/>
      <c r="UR24" s="6"/>
      <c r="US24" s="6"/>
      <c r="UT24" s="6"/>
      <c r="UU24" s="6"/>
      <c r="UV24" s="6"/>
      <c r="UW24" s="6"/>
      <c r="UX24" s="6"/>
      <c r="UY24" s="6"/>
      <c r="UZ24" s="6"/>
      <c r="VA24" s="6"/>
      <c r="VB24" s="6"/>
      <c r="VC24" s="6"/>
      <c r="VD24" s="6"/>
      <c r="VE24" s="6"/>
      <c r="VF24" s="6"/>
      <c r="VG24" s="6"/>
      <c r="VH24" s="6"/>
      <c r="VI24" s="6"/>
      <c r="VJ24" s="6"/>
      <c r="VK24" s="6"/>
      <c r="VL24" s="6"/>
      <c r="VM24" s="6"/>
      <c r="VN24" s="6"/>
      <c r="VO24" s="6"/>
      <c r="VP24" s="6"/>
      <c r="VQ24" s="6"/>
      <c r="VR24" s="6"/>
      <c r="VS24" s="6"/>
      <c r="VT24" s="6"/>
      <c r="VU24" s="6"/>
      <c r="VV24" s="6"/>
      <c r="VW24" s="6"/>
      <c r="VX24" s="6"/>
      <c r="VY24" s="6"/>
      <c r="VZ24" s="6"/>
      <c r="WA24" s="6"/>
      <c r="WB24" s="6"/>
      <c r="WC24" s="6"/>
      <c r="WD24" s="6"/>
      <c r="WE24" s="6"/>
      <c r="WF24" s="6"/>
      <c r="WG24" s="6"/>
      <c r="WH24" s="6"/>
      <c r="WI24" s="6"/>
      <c r="WJ24" s="6"/>
      <c r="WK24" s="6"/>
      <c r="WL24" s="6"/>
      <c r="WM24" s="6"/>
      <c r="WN24" s="6"/>
      <c r="WO24" s="6"/>
      <c r="WP24" s="6"/>
      <c r="WQ24" s="6"/>
      <c r="WR24" s="6"/>
      <c r="WS24" s="6"/>
      <c r="WT24" s="6"/>
      <c r="WU24" s="6"/>
      <c r="WV24" s="6"/>
      <c r="WW24" s="6"/>
      <c r="WX24" s="6"/>
      <c r="WY24" s="6"/>
      <c r="WZ24" s="6"/>
      <c r="XA24" s="6"/>
      <c r="XB24" s="6"/>
      <c r="XC24" s="6"/>
      <c r="XD24" s="6"/>
      <c r="XE24" s="6"/>
      <c r="XF24" s="6"/>
      <c r="XG24" s="6"/>
      <c r="XH24" s="6"/>
      <c r="XI24" s="6"/>
      <c r="XJ24" s="6"/>
      <c r="XK24" s="6"/>
      <c r="XL24" s="6"/>
      <c r="XM24" s="6"/>
      <c r="XN24" s="6"/>
      <c r="XO24" s="6"/>
      <c r="XP24" s="6"/>
      <c r="XQ24" s="6"/>
      <c r="XR24" s="6"/>
      <c r="XS24" s="6"/>
      <c r="XT24" s="6"/>
      <c r="XU24" s="6"/>
      <c r="XV24" s="6"/>
      <c r="XW24" s="6"/>
      <c r="XX24" s="6"/>
      <c r="XY24" s="6"/>
      <c r="XZ24" s="6"/>
      <c r="YA24" s="6"/>
      <c r="YB24" s="6"/>
      <c r="YC24" s="6"/>
      <c r="YD24" s="6"/>
      <c r="YE24" s="6"/>
      <c r="YF24" s="6"/>
      <c r="YG24" s="6"/>
      <c r="YH24" s="6"/>
      <c r="YI24" s="6"/>
      <c r="YJ24" s="6"/>
      <c r="YK24" s="6"/>
      <c r="YL24" s="6"/>
      <c r="YM24" s="6"/>
      <c r="YN24" s="6"/>
      <c r="YO24" s="6"/>
      <c r="YP24" s="6"/>
      <c r="YQ24" s="6"/>
      <c r="YR24" s="6"/>
      <c r="YS24" s="6"/>
      <c r="YT24" s="6"/>
      <c r="YU24" s="6"/>
      <c r="YV24" s="6"/>
      <c r="YW24" s="6"/>
      <c r="YX24" s="6"/>
      <c r="YY24" s="6"/>
      <c r="YZ24" s="6"/>
      <c r="ZA24" s="6"/>
      <c r="ZB24" s="6"/>
      <c r="ZC24" s="6"/>
      <c r="ZD24" s="6"/>
      <c r="ZE24" s="6"/>
      <c r="ZF24" s="6"/>
      <c r="ZG24" s="6"/>
      <c r="ZH24" s="6"/>
      <c r="ZI24" s="6"/>
      <c r="ZJ24" s="6"/>
      <c r="ZK24" s="6"/>
      <c r="ZL24" s="6"/>
      <c r="ZM24" s="6"/>
      <c r="ZN24" s="6"/>
      <c r="ZO24" s="6"/>
      <c r="ZP24" s="6"/>
      <c r="ZQ24" s="6"/>
      <c r="ZR24" s="6"/>
      <c r="ZS24" s="6"/>
      <c r="ZT24" s="6"/>
      <c r="ZU24" s="6"/>
      <c r="ZV24" s="6"/>
      <c r="ZW24" s="6"/>
      <c r="ZX24" s="6"/>
      <c r="ZY24" s="6"/>
      <c r="ZZ24" s="6"/>
      <c r="AAA24" s="6"/>
      <c r="AAB24" s="6"/>
      <c r="AAC24" s="6"/>
      <c r="AAD24" s="6"/>
      <c r="AAE24" s="6"/>
      <c r="AAF24" s="6"/>
      <c r="AAG24" s="6"/>
      <c r="AAH24" s="6"/>
      <c r="AAI24" s="6"/>
      <c r="AAJ24" s="6"/>
      <c r="AAK24" s="6"/>
      <c r="AAL24" s="6"/>
      <c r="AAM24" s="6"/>
      <c r="AAN24" s="6"/>
      <c r="AAO24" s="6"/>
      <c r="AAP24" s="6"/>
      <c r="AAQ24" s="6"/>
      <c r="AAR24" s="6"/>
      <c r="AAS24" s="6"/>
      <c r="AAT24" s="6"/>
      <c r="AAU24" s="6"/>
      <c r="AAV24" s="6"/>
      <c r="AAW24" s="6"/>
      <c r="AAX24" s="6"/>
      <c r="AAY24" s="6"/>
      <c r="AAZ24" s="6"/>
      <c r="ABA24" s="6"/>
      <c r="ABB24" s="6"/>
      <c r="ABC24" s="6"/>
      <c r="ABD24" s="6"/>
      <c r="ABE24" s="6"/>
      <c r="ABF24" s="6"/>
      <c r="ABG24" s="6"/>
      <c r="ABH24" s="6"/>
      <c r="ABI24" s="6"/>
      <c r="ABJ24" s="6"/>
      <c r="ABK24" s="6"/>
      <c r="ABL24" s="6"/>
      <c r="ABM24" s="6"/>
      <c r="ABN24" s="6"/>
      <c r="ABO24" s="6"/>
      <c r="ABP24" s="6"/>
      <c r="ABQ24" s="6"/>
      <c r="ABR24" s="6"/>
      <c r="ABS24" s="6"/>
      <c r="ABT24" s="6"/>
      <c r="ABU24" s="6"/>
      <c r="ABV24" s="6"/>
      <c r="ABW24" s="6"/>
      <c r="ABX24" s="6"/>
      <c r="ABY24" s="6"/>
      <c r="ABZ24" s="6"/>
      <c r="ACA24" s="6"/>
      <c r="ACB24" s="6"/>
      <c r="ACC24" s="6"/>
      <c r="ACD24" s="6"/>
      <c r="ACE24" s="6"/>
      <c r="ACF24" s="6"/>
      <c r="ACG24" s="6"/>
      <c r="ACH24" s="6"/>
      <c r="ACI24" s="6"/>
      <c r="ACJ24" s="6"/>
      <c r="ACK24" s="6"/>
      <c r="ACL24" s="6"/>
      <c r="ACM24" s="6"/>
      <c r="ACN24" s="6"/>
      <c r="ACO24" s="6"/>
      <c r="ACP24" s="6"/>
      <c r="ACQ24" s="6"/>
      <c r="ACR24" s="6"/>
      <c r="ACS24" s="6"/>
      <c r="ACT24" s="6"/>
      <c r="ACU24" s="6"/>
      <c r="ACV24" s="6"/>
      <c r="ACW24" s="6"/>
      <c r="ACX24" s="6"/>
      <c r="ACY24" s="6"/>
      <c r="ACZ24" s="6"/>
      <c r="ADA24" s="6"/>
      <c r="ADB24" s="6"/>
      <c r="ADC24" s="6"/>
      <c r="ADD24" s="6"/>
      <c r="ADE24" s="6"/>
      <c r="ADF24" s="6"/>
      <c r="ADG24" s="6"/>
      <c r="ADH24" s="6"/>
      <c r="ADI24" s="6"/>
      <c r="ADJ24" s="6"/>
      <c r="ADK24" s="6"/>
      <c r="ADL24" s="6"/>
      <c r="ADM24" s="6"/>
      <c r="ADN24" s="6"/>
      <c r="ADO24" s="6"/>
      <c r="ADP24" s="6"/>
      <c r="ADQ24" s="6"/>
      <c r="ADR24" s="6"/>
      <c r="ADS24" s="6"/>
      <c r="ADT24" s="6"/>
      <c r="ADU24" s="6"/>
      <c r="ADV24" s="6"/>
      <c r="ADW24" s="6"/>
      <c r="ADX24" s="6"/>
      <c r="ADY24" s="6"/>
      <c r="ADZ24" s="6"/>
      <c r="AEA24" s="6"/>
      <c r="AEB24" s="6"/>
      <c r="AEC24" s="6"/>
      <c r="AED24" s="6"/>
      <c r="AEE24" s="6"/>
      <c r="AEF24" s="6"/>
      <c r="AEG24" s="6"/>
      <c r="AEH24" s="6"/>
      <c r="AEI24" s="6"/>
      <c r="AEJ24" s="6"/>
      <c r="AEK24" s="6"/>
      <c r="AEL24" s="6"/>
      <c r="AEM24" s="6"/>
      <c r="AEN24" s="6"/>
      <c r="AEO24" s="6"/>
      <c r="AEP24" s="6"/>
      <c r="AEQ24" s="6"/>
      <c r="AER24" s="6"/>
      <c r="AES24" s="6"/>
      <c r="AET24" s="6"/>
      <c r="AEU24" s="6"/>
      <c r="AEV24" s="6"/>
      <c r="AEW24" s="6"/>
      <c r="AEX24" s="6"/>
      <c r="AEY24" s="6"/>
      <c r="AEZ24" s="6"/>
      <c r="AFA24" s="6"/>
      <c r="AFB24" s="6"/>
      <c r="AFC24" s="6"/>
      <c r="AFD24" s="6"/>
      <c r="AFE24" s="6"/>
      <c r="AFF24" s="6"/>
      <c r="AFG24" s="6"/>
      <c r="AFH24" s="6"/>
      <c r="AFI24" s="6"/>
      <c r="AFJ24" s="6"/>
      <c r="AFK24" s="6"/>
      <c r="AFL24" s="6"/>
      <c r="AFM24" s="6"/>
      <c r="AFN24" s="6"/>
      <c r="AFO24" s="6"/>
      <c r="AFP24" s="6"/>
      <c r="AFQ24" s="6"/>
      <c r="AFR24" s="6"/>
      <c r="AFS24" s="6"/>
      <c r="AFT24" s="6"/>
      <c r="AFU24" s="6"/>
      <c r="AFV24" s="6"/>
      <c r="AFW24" s="6"/>
      <c r="AFX24" s="6"/>
      <c r="AFY24" s="6"/>
      <c r="AFZ24" s="6"/>
      <c r="AGA24" s="6"/>
      <c r="AGB24" s="6"/>
      <c r="AGC24" s="6"/>
      <c r="AGD24" s="6"/>
      <c r="AGE24" s="6"/>
      <c r="AGF24" s="6"/>
      <c r="AGG24" s="6"/>
      <c r="AGH24" s="6"/>
      <c r="AGI24" s="6"/>
      <c r="AGJ24" s="6"/>
      <c r="AGK24" s="6"/>
      <c r="AGL24" s="6"/>
      <c r="AGM24" s="6"/>
      <c r="AGN24" s="6"/>
      <c r="AGO24" s="6"/>
      <c r="AGP24" s="6"/>
      <c r="AGQ24" s="6"/>
      <c r="AGR24" s="6"/>
      <c r="AGS24" s="6"/>
      <c r="AGT24" s="6"/>
      <c r="AGU24" s="6"/>
      <c r="AGV24" s="6"/>
      <c r="AGW24" s="6"/>
      <c r="AGX24" s="6"/>
      <c r="AGY24" s="6"/>
      <c r="AGZ24" s="6"/>
      <c r="AHA24" s="6"/>
      <c r="AHB24" s="6"/>
      <c r="AHC24" s="6"/>
      <c r="AHD24" s="6"/>
      <c r="AHE24" s="6"/>
      <c r="AHF24" s="6"/>
      <c r="AHG24" s="6"/>
      <c r="AHH24" s="6"/>
      <c r="AHI24" s="6"/>
      <c r="AHJ24" s="6"/>
      <c r="AHK24" s="6"/>
      <c r="AHL24" s="6"/>
      <c r="AHM24" s="6"/>
      <c r="AHN24" s="6"/>
      <c r="AHO24" s="6"/>
      <c r="AHP24" s="6"/>
      <c r="AHQ24" s="6"/>
      <c r="AHR24" s="6"/>
      <c r="AHS24" s="6"/>
      <c r="AHT24" s="6"/>
      <c r="AHU24" s="6"/>
      <c r="AHV24" s="6"/>
      <c r="AHW24" s="6"/>
      <c r="AHX24" s="6"/>
      <c r="AHY24" s="6"/>
      <c r="AHZ24" s="6"/>
      <c r="AIA24" s="6"/>
      <c r="AIB24" s="6"/>
      <c r="AIC24" s="6"/>
      <c r="AID24" s="6"/>
      <c r="AIE24" s="6"/>
      <c r="AIF24" s="6"/>
      <c r="AIG24" s="6"/>
      <c r="AIH24" s="6"/>
      <c r="AII24" s="6"/>
      <c r="AIJ24" s="6"/>
      <c r="AIK24" s="6"/>
      <c r="AIL24" s="6"/>
      <c r="AIM24" s="6"/>
      <c r="AIN24" s="6"/>
      <c r="AIO24" s="6"/>
      <c r="AIP24" s="6"/>
      <c r="AIQ24" s="6"/>
      <c r="AIR24" s="6"/>
      <c r="AIS24" s="6"/>
      <c r="AIT24" s="6"/>
      <c r="AIU24" s="6"/>
      <c r="AIV24" s="6"/>
      <c r="AIW24" s="6"/>
      <c r="AIX24" s="6"/>
      <c r="AIY24" s="6"/>
      <c r="AIZ24" s="6"/>
      <c r="AJA24" s="6"/>
      <c r="AJB24" s="6"/>
      <c r="AJC24" s="6"/>
      <c r="AJD24" s="6"/>
      <c r="AJE24" s="6"/>
      <c r="AJF24" s="6"/>
      <c r="AJG24" s="6"/>
      <c r="AJH24" s="6"/>
      <c r="AJI24" s="6"/>
      <c r="AJJ24" s="6"/>
      <c r="AJK24" s="6"/>
      <c r="AJL24" s="6"/>
      <c r="AJM24" s="6"/>
      <c r="AJN24" s="6"/>
      <c r="AJO24" s="6"/>
      <c r="AJP24" s="6"/>
      <c r="AJQ24" s="6"/>
      <c r="AJR24" s="6"/>
      <c r="AJS24" s="6"/>
      <c r="AJT24" s="6"/>
      <c r="AJU24" s="6"/>
      <c r="AJV24" s="6"/>
      <c r="AJW24" s="6"/>
      <c r="AJX24" s="6"/>
      <c r="AJY24" s="6"/>
      <c r="AJZ24" s="6"/>
      <c r="AKA24" s="6"/>
      <c r="AKB24" s="6"/>
      <c r="AKC24" s="6"/>
      <c r="AKD24" s="6"/>
      <c r="AKE24" s="6"/>
      <c r="AKF24" s="6"/>
      <c r="AKG24" s="6"/>
      <c r="AKH24" s="6"/>
      <c r="AKI24" s="6"/>
      <c r="AKJ24" s="6"/>
      <c r="AKK24" s="6"/>
      <c r="AKL24" s="6"/>
      <c r="AKM24" s="6"/>
      <c r="AKN24" s="6"/>
      <c r="AKO24" s="6"/>
      <c r="AKP24" s="6"/>
      <c r="AKQ24" s="6"/>
      <c r="AKR24" s="6"/>
      <c r="AKS24" s="6"/>
      <c r="AKT24" s="6"/>
      <c r="AKU24" s="6"/>
      <c r="AKV24" s="6"/>
      <c r="AKW24" s="6"/>
      <c r="AKX24" s="6"/>
      <c r="AKY24" s="6"/>
      <c r="AKZ24" s="6"/>
      <c r="ALA24" s="6"/>
      <c r="ALB24" s="6"/>
      <c r="ALC24" s="6"/>
      <c r="ALD24" s="6"/>
      <c r="ALE24" s="6"/>
      <c r="ALF24" s="6"/>
      <c r="ALG24" s="6"/>
      <c r="ALH24" s="6"/>
      <c r="ALI24" s="6"/>
      <c r="ALJ24" s="6"/>
      <c r="ALK24" s="6"/>
      <c r="ALL24" s="6"/>
      <c r="ALM24" s="6"/>
      <c r="ALN24" s="6"/>
      <c r="ALO24" s="6"/>
      <c r="ALP24" s="6"/>
      <c r="ALQ24" s="6"/>
      <c r="ALR24" s="6"/>
      <c r="ALS24" s="6"/>
      <c r="ALT24" s="6"/>
      <c r="ALU24" s="6"/>
      <c r="ALV24" s="6"/>
      <c r="ALW24" s="6"/>
      <c r="ALX24" s="6"/>
      <c r="ALY24" s="6"/>
      <c r="ALZ24" s="6"/>
      <c r="AMA24" s="6"/>
      <c r="AMB24" s="6"/>
      <c r="AMC24" s="6"/>
      <c r="AMD24" s="6"/>
      <c r="AME24" s="6"/>
      <c r="AMF24" s="6"/>
      <c r="AMG24" s="6"/>
      <c r="AMH24" s="6"/>
      <c r="AMI24" s="6"/>
      <c r="AMJ24" s="6"/>
      <c r="AMK24" s="6"/>
      <c r="AML24" s="6"/>
      <c r="AMM24" s="6"/>
      <c r="AMN24" s="6"/>
      <c r="AMO24" s="6"/>
      <c r="AMP24" s="6"/>
      <c r="AMQ24" s="6"/>
    </row>
    <row r="25" spans="1:1031" ht="12.75" customHeight="1">
      <c r="A25">
        <v>3</v>
      </c>
      <c r="B25" t="s">
        <v>56</v>
      </c>
      <c r="C25" s="6" t="s">
        <v>101</v>
      </c>
      <c r="D25" s="4">
        <v>119.7</v>
      </c>
      <c r="E25" s="4">
        <v>40</v>
      </c>
      <c r="F25" s="4">
        <v>39</v>
      </c>
      <c r="G25" s="4">
        <v>38</v>
      </c>
      <c r="H25" s="4">
        <v>117</v>
      </c>
      <c r="I25" s="5">
        <v>1.1000000000000001</v>
      </c>
      <c r="J25" s="5">
        <v>0</v>
      </c>
      <c r="K25" s="5">
        <v>0.5</v>
      </c>
      <c r="M25" s="6">
        <f>ABS(D25-H25)</f>
        <v>2.7000000000000028</v>
      </c>
      <c r="O25" t="s">
        <v>102</v>
      </c>
      <c r="P25">
        <v>853.92</v>
      </c>
      <c r="Q25">
        <v>3013.84</v>
      </c>
      <c r="R25" s="4">
        <f>Table1[[#This Row],[max]]-Table1[[#This Row],[min]]</f>
        <v>2159.92</v>
      </c>
      <c r="S25" s="4">
        <f>VLOOKUP(Table1[[#This Row],[finger]],fingerMaxMin[],3)-Table1[[#This Row],[max]]</f>
        <v>-5.8400000000001455</v>
      </c>
      <c r="T25" s="7">
        <f>P25/scale</f>
        <v>45.964043492302721</v>
      </c>
      <c r="U25" s="7">
        <f>Q25/scale</f>
        <v>162.22628915922058</v>
      </c>
      <c r="V25" s="28">
        <f>Table1[[#This Row],[scaled max]]-Table1[[#This Row],[scaled min]]</f>
        <v>116.26224566691786</v>
      </c>
      <c r="W25" s="28">
        <f>(VLOOKUP(Table1[[#This Row],[finger]],fingerMaxMin[],3)/scale)-T25</f>
        <v>115.94789536010336</v>
      </c>
      <c r="X25" s="8">
        <f>SIN(RADIANS(T25))</f>
        <v>0.71890371929545893</v>
      </c>
      <c r="Y25" s="8">
        <f>SIN(RADIANS(U25))</f>
        <v>0.30525840499881918</v>
      </c>
      <c r="AA25" s="6">
        <f>COS(RADIANS(T25))</f>
        <v>0.69510966212760705</v>
      </c>
      <c r="AB25" s="6">
        <f>COS(RADIANS(U25))</f>
        <v>-0.9522695554188304</v>
      </c>
      <c r="AD25" s="1">
        <f>P25/Q25</f>
        <v>0.28333289092984365</v>
      </c>
      <c r="AF25" t="s">
        <v>102</v>
      </c>
      <c r="AG25">
        <v>1718.27</v>
      </c>
      <c r="AH25">
        <v>2074.94</v>
      </c>
      <c r="AI25" s="6">
        <f>Table1[[#This Row],[Smax]]-Table1[[#This Row],[Smin]]</f>
        <v>356.67000000000007</v>
      </c>
      <c r="AJ25" s="6">
        <f>AVERAGE(Table1[[#This Row],[Smin]:[Smax]])</f>
        <v>1896.605</v>
      </c>
      <c r="AL25" s="6"/>
    </row>
    <row r="26" spans="1:1031" ht="12.75" customHeight="1">
      <c r="A26">
        <v>3</v>
      </c>
      <c r="B26" t="s">
        <v>164</v>
      </c>
      <c r="C26" t="s">
        <v>89</v>
      </c>
      <c r="D26" s="15">
        <v>112</v>
      </c>
      <c r="E26" s="15">
        <v>35</v>
      </c>
      <c r="F26" s="15">
        <v>36</v>
      </c>
      <c r="G26" s="15">
        <v>47</v>
      </c>
      <c r="H26" s="15">
        <v>118</v>
      </c>
      <c r="I26">
        <v>2.9000000000000021</v>
      </c>
      <c r="J26">
        <v>-34</v>
      </c>
      <c r="K26">
        <v>0.3</v>
      </c>
      <c r="M26" s="6">
        <f>ABS(D26-H26)</f>
        <v>6</v>
      </c>
      <c r="O26" t="s">
        <v>87</v>
      </c>
      <c r="P26">
        <v>550.46</v>
      </c>
      <c r="Q26">
        <v>3013.19</v>
      </c>
      <c r="R26" s="4">
        <f>Table1[[#This Row],[max]]-Table1[[#This Row],[min]]</f>
        <v>2462.73</v>
      </c>
      <c r="S26" s="4">
        <f>VLOOKUP(Table1[[#This Row],[finger]],fingerMaxMin[],3)-Table1[[#This Row],[max]]</f>
        <v>-5.1900000000000546</v>
      </c>
      <c r="T26" s="7">
        <f>P26/scale</f>
        <v>29.62966950156099</v>
      </c>
      <c r="U26" s="7">
        <f>Q26/scale</f>
        <v>162.19130153945528</v>
      </c>
      <c r="V26" s="28">
        <f>Table1[[#This Row],[scaled max]]-Table1[[#This Row],[scaled min]]</f>
        <v>132.5616320378943</v>
      </c>
      <c r="W26" s="28">
        <f>(VLOOKUP(Table1[[#This Row],[finger]],fingerMaxMin[],3)/scale)-T26</f>
        <v>132.2822693508451</v>
      </c>
      <c r="X26" s="8">
        <f>SIN(RADIANS(T26))</f>
        <v>0.49439205132435232</v>
      </c>
      <c r="Y26" s="8">
        <f>SIN(RADIANS(U26))</f>
        <v>0.30583985065475044</v>
      </c>
      <c r="AA26">
        <f>COS(RADIANS(T26))</f>
        <v>0.86923903478116937</v>
      </c>
      <c r="AB26">
        <f>COS(RADIANS(U26))</f>
        <v>-0.95208297209407122</v>
      </c>
      <c r="AD26" s="1">
        <f>P26/Q26</f>
        <v>0.18268346835081758</v>
      </c>
      <c r="AF26" t="s">
        <v>87</v>
      </c>
      <c r="AG26">
        <v>2021.21</v>
      </c>
      <c r="AH26">
        <v>2172.77</v>
      </c>
      <c r="AI26" s="6">
        <f>Table1[[#This Row],[Smax]]-Table1[[#This Row],[Smin]]</f>
        <v>151.55999999999995</v>
      </c>
      <c r="AJ26" s="6">
        <f>AVERAGE(Table1[[#This Row],[Smin]:[Smax]])</f>
        <v>2096.9899999999998</v>
      </c>
      <c r="AL26" s="6"/>
    </row>
    <row r="27" spans="1:1031" ht="12.75" customHeight="1">
      <c r="A27">
        <v>3</v>
      </c>
      <c r="B27" t="s">
        <v>164</v>
      </c>
      <c r="C27" s="6" t="s">
        <v>28</v>
      </c>
      <c r="D27" s="9">
        <v>123.5</v>
      </c>
      <c r="E27" s="9">
        <v>46</v>
      </c>
      <c r="F27" s="9">
        <v>37</v>
      </c>
      <c r="G27" s="9">
        <v>37</v>
      </c>
      <c r="H27" s="9">
        <v>120</v>
      </c>
      <c r="I27" s="5">
        <v>1.1000000000000001</v>
      </c>
      <c r="J27" s="5">
        <v>0</v>
      </c>
      <c r="K27" s="5">
        <v>0.6</v>
      </c>
      <c r="M27" s="6">
        <f>ABS(D27-H27)</f>
        <v>3.5</v>
      </c>
      <c r="O27" s="6" t="s">
        <v>29</v>
      </c>
      <c r="P27" s="4">
        <v>907.46</v>
      </c>
      <c r="Q27" s="4">
        <v>2972.03</v>
      </c>
      <c r="R27" s="4">
        <f>Table1[[#This Row],[max]]-Table1[[#This Row],[min]]</f>
        <v>2064.5700000000002</v>
      </c>
      <c r="S27" s="4">
        <f>VLOOKUP(Table1[[#This Row],[finger]],fingerMaxMin[],3)-Table1[[#This Row],[max]]</f>
        <v>35.9699999999998</v>
      </c>
      <c r="T27" s="7">
        <f>P27/scale</f>
        <v>48.845946818817957</v>
      </c>
      <c r="U27" s="7">
        <f>Q27/scale</f>
        <v>159.97577780170096</v>
      </c>
      <c r="V27" s="28">
        <f>Table1[[#This Row],[scaled max]]-Table1[[#This Row],[scaled min]]</f>
        <v>111.12983098288299</v>
      </c>
      <c r="W27" s="28">
        <f>(VLOOKUP(Table1[[#This Row],[finger]],fingerMaxMin[],3)/scale)-T27</f>
        <v>113.06599203358812</v>
      </c>
      <c r="X27" s="8">
        <f>SIN(RADIANS(T27))</f>
        <v>0.75294288531252307</v>
      </c>
      <c r="Y27" s="8">
        <f>SIN(RADIANS(U27))</f>
        <v>0.34241737448920129</v>
      </c>
      <c r="AA27">
        <f>COS(RADIANS(T27))</f>
        <v>0.65808586936451741</v>
      </c>
      <c r="AB27">
        <f>COS(RADIANS(U27))</f>
        <v>-0.93954794536943254</v>
      </c>
      <c r="AD27" s="1">
        <f>P27/Q27</f>
        <v>0.30533339165486217</v>
      </c>
      <c r="AF27" t="s">
        <v>29</v>
      </c>
      <c r="AG27">
        <v>1820.54</v>
      </c>
      <c r="AH27">
        <v>2264.9</v>
      </c>
      <c r="AI27" s="6">
        <f>Table1[[#This Row],[Smax]]-Table1[[#This Row],[Smin]]</f>
        <v>444.36000000000013</v>
      </c>
      <c r="AJ27" s="6">
        <f>AVERAGE(Table1[[#This Row],[Smin]:[Smax]])</f>
        <v>2042.72</v>
      </c>
      <c r="AL27" s="6"/>
    </row>
    <row r="28" spans="1:1031" ht="12.75" customHeight="1">
      <c r="A28">
        <v>3</v>
      </c>
      <c r="B28" t="s">
        <v>164</v>
      </c>
      <c r="C28" s="6" t="s">
        <v>14</v>
      </c>
      <c r="D28" s="4">
        <v>120.2</v>
      </c>
      <c r="E28" s="4">
        <v>46</v>
      </c>
      <c r="F28" s="4">
        <v>33</v>
      </c>
      <c r="G28" s="4">
        <v>42</v>
      </c>
      <c r="H28" s="4">
        <v>121</v>
      </c>
      <c r="I28" s="5">
        <v>1.1000000000000001</v>
      </c>
      <c r="J28" s="5">
        <v>0</v>
      </c>
      <c r="K28" s="5">
        <v>0.6</v>
      </c>
      <c r="M28" s="6">
        <f>ABS(D28-H28)</f>
        <v>0.79999999999999716</v>
      </c>
      <c r="O28" s="6" t="s">
        <v>15</v>
      </c>
      <c r="P28" s="4">
        <v>697.72</v>
      </c>
      <c r="Q28" s="4">
        <v>3011.96</v>
      </c>
      <c r="R28" s="4">
        <f>Table1[[#This Row],[max]]-Table1[[#This Row],[min]]</f>
        <v>2314.2399999999998</v>
      </c>
      <c r="S28" s="4">
        <f>VLOOKUP(Table1[[#This Row],[finger]],fingerMaxMin[],3)-Table1[[#This Row],[max]]</f>
        <v>-3.9600000000000364</v>
      </c>
      <c r="T28" s="7">
        <f>P28/scale</f>
        <v>37.556249327161161</v>
      </c>
      <c r="U28" s="7">
        <f>Q28/scale</f>
        <v>162.12509419743785</v>
      </c>
      <c r="V28" s="28">
        <f>Table1[[#This Row],[scaled max]]-Table1[[#This Row],[scaled min]]</f>
        <v>124.56884487027668</v>
      </c>
      <c r="W28" s="28">
        <f>(VLOOKUP(Table1[[#This Row],[finger]],fingerMaxMin[],3)/scale)-T28</f>
        <v>124.35568952524491</v>
      </c>
      <c r="X28" s="8">
        <f>SIN(RADIANS(T28))</f>
        <v>0.60953999902376454</v>
      </c>
      <c r="Y28" s="8">
        <f>SIN(RADIANS(U28))</f>
        <v>0.30693981247281682</v>
      </c>
      <c r="AA28">
        <f>COS(RADIANS(T28))</f>
        <v>0.7927553150815887</v>
      </c>
      <c r="AB28">
        <f>COS(RADIANS(U28))</f>
        <v>-0.95172892754142557</v>
      </c>
      <c r="AD28" s="1">
        <f>P28/Q28</f>
        <v>0.23164982270680887</v>
      </c>
      <c r="AF28" t="s">
        <v>15</v>
      </c>
      <c r="AG28">
        <v>1973.39</v>
      </c>
      <c r="AH28">
        <v>2145.34</v>
      </c>
      <c r="AI28" s="6">
        <f>Table1[[#This Row],[Smax]]-Table1[[#This Row],[Smin]]</f>
        <v>171.95000000000005</v>
      </c>
      <c r="AJ28" s="6">
        <f>AVERAGE(Table1[[#This Row],[Smin]:[Smax]])</f>
        <v>2059.3650000000002</v>
      </c>
      <c r="AL28" s="6"/>
    </row>
    <row r="29" spans="1:1031" ht="12.75" customHeight="1">
      <c r="A29">
        <v>3</v>
      </c>
      <c r="B29" t="s">
        <v>56</v>
      </c>
      <c r="C29" s="6" t="s">
        <v>16</v>
      </c>
      <c r="D29" s="16">
        <v>121.5</v>
      </c>
      <c r="E29" s="16">
        <v>42</v>
      </c>
      <c r="F29" s="16">
        <v>39</v>
      </c>
      <c r="G29" s="16">
        <v>40</v>
      </c>
      <c r="H29" s="16">
        <v>121</v>
      </c>
      <c r="I29" s="5">
        <v>1.1000000000000001</v>
      </c>
      <c r="J29" s="5">
        <v>5</v>
      </c>
      <c r="K29" s="5">
        <v>0.4</v>
      </c>
      <c r="M29" s="6">
        <f>ABS(D29-H29)</f>
        <v>0.5</v>
      </c>
      <c r="O29" s="6" t="s">
        <v>17</v>
      </c>
      <c r="P29" s="4">
        <v>588.1</v>
      </c>
      <c r="Q29" s="4">
        <v>3012.24</v>
      </c>
      <c r="R29" s="4">
        <f>Table1[[#This Row],[max]]-Table1[[#This Row],[min]]</f>
        <v>2424.14</v>
      </c>
      <c r="S29" s="4">
        <f>VLOOKUP(Table1[[#This Row],[finger]],fingerMaxMin[],3)-Table1[[#This Row],[max]]</f>
        <v>-4.2399999999997817</v>
      </c>
      <c r="T29" s="7">
        <f>P29/scale</f>
        <v>31.655721821509314</v>
      </c>
      <c r="U29" s="7">
        <f>Q29/scale</f>
        <v>162.14016578749056</v>
      </c>
      <c r="V29" s="28">
        <f>Table1[[#This Row],[scaled max]]-Table1[[#This Row],[scaled min]]</f>
        <v>130.48444396598126</v>
      </c>
      <c r="W29" s="28">
        <f>(VLOOKUP(Table1[[#This Row],[finger]],fingerMaxMin[],3)/scale)-T29</f>
        <v>130.25621703089678</v>
      </c>
      <c r="X29" s="8">
        <f>SIN(RADIANS(T29))</f>
        <v>0.52481398740007823</v>
      </c>
      <c r="Y29" s="8">
        <f>SIN(RADIANS(U29))</f>
        <v>0.30668945063752856</v>
      </c>
      <c r="AA29">
        <f>COS(RADIANS(T29))</f>
        <v>0.85121693981571489</v>
      </c>
      <c r="AB29">
        <f>COS(RADIANS(U29))</f>
        <v>-0.95180963478399971</v>
      </c>
      <c r="AD29" s="1">
        <f>P29/Q29</f>
        <v>0.19523676732265691</v>
      </c>
      <c r="AF29" t="s">
        <v>17</v>
      </c>
      <c r="AG29">
        <v>1970.06</v>
      </c>
      <c r="AH29">
        <v>2099.11</v>
      </c>
      <c r="AI29" s="6">
        <f>Table1[[#This Row],[Smax]]-Table1[[#This Row],[Smin]]</f>
        <v>129.05000000000018</v>
      </c>
      <c r="AJ29" s="6">
        <f>AVERAGE(Table1[[#This Row],[Smin]:[Smax]])</f>
        <v>2034.585</v>
      </c>
      <c r="AL29" s="6"/>
    </row>
    <row r="30" spans="1:1031" ht="12.75" customHeight="1">
      <c r="A30">
        <v>3</v>
      </c>
      <c r="B30" t="s">
        <v>164</v>
      </c>
      <c r="C30" s="6" t="s">
        <v>18</v>
      </c>
      <c r="D30" s="16">
        <v>126</v>
      </c>
      <c r="E30" s="16">
        <v>41</v>
      </c>
      <c r="F30" s="16">
        <v>41</v>
      </c>
      <c r="G30" s="16">
        <v>40</v>
      </c>
      <c r="H30" s="16">
        <v>122</v>
      </c>
      <c r="I30" s="5">
        <v>1.1000000000000001</v>
      </c>
      <c r="J30" s="5">
        <v>0</v>
      </c>
      <c r="K30" s="5">
        <v>0.6</v>
      </c>
      <c r="M30" s="6">
        <f>ABS(D30-H30)</f>
        <v>4</v>
      </c>
      <c r="O30" s="6" t="s">
        <v>19</v>
      </c>
      <c r="P30" s="4">
        <v>794.89</v>
      </c>
      <c r="Q30" s="4">
        <v>3011.65</v>
      </c>
      <c r="R30" s="4">
        <f>Table1[[#This Row],[max]]-Table1[[#This Row],[min]]</f>
        <v>2216.7600000000002</v>
      </c>
      <c r="S30" s="4">
        <f>VLOOKUP(Table1[[#This Row],[finger]],fingerMaxMin[],3)-Table1[[#This Row],[max]]</f>
        <v>-3.6500000000000909</v>
      </c>
      <c r="T30" s="7">
        <f>P30/scale</f>
        <v>42.786629346538916</v>
      </c>
      <c r="U30" s="7">
        <f>Q30/scale</f>
        <v>162.10840779416515</v>
      </c>
      <c r="V30" s="28">
        <f>Table1[[#This Row],[scaled max]]-Table1[[#This Row],[scaled min]]</f>
        <v>119.32177844762623</v>
      </c>
      <c r="W30" s="28">
        <f>(VLOOKUP(Table1[[#This Row],[finger]],fingerMaxMin[],3)/scale)-T30</f>
        <v>119.12530950586716</v>
      </c>
      <c r="X30" s="8">
        <f>SIN(RADIANS(T30))</f>
        <v>0.67927006114826238</v>
      </c>
      <c r="Y30" s="8">
        <f>SIN(RADIANS(U30))</f>
        <v>0.30721697401587267</v>
      </c>
      <c r="AA30">
        <f>COS(RADIANS(T30))</f>
        <v>0.73388840025417745</v>
      </c>
      <c r="AB30">
        <f>COS(RADIANS(U30))</f>
        <v>-0.95163949627814981</v>
      </c>
      <c r="AD30" s="1">
        <f>P30/Q30</f>
        <v>0.26393837265286468</v>
      </c>
      <c r="AF30" t="s">
        <v>19</v>
      </c>
      <c r="AG30">
        <v>1721.48</v>
      </c>
      <c r="AH30">
        <v>2064.91</v>
      </c>
      <c r="AI30" s="6">
        <f>Table1[[#This Row],[Smax]]-Table1[[#This Row],[Smin]]</f>
        <v>343.42999999999984</v>
      </c>
      <c r="AJ30" s="6">
        <f>AVERAGE(Table1[[#This Row],[Smin]:[Smax]])</f>
        <v>1893.1949999999999</v>
      </c>
      <c r="AL30" s="6"/>
    </row>
    <row r="31" spans="1:1031" ht="12.75" customHeight="1">
      <c r="A31">
        <v>3</v>
      </c>
      <c r="B31" t="s">
        <v>164</v>
      </c>
      <c r="C31" t="s">
        <v>90</v>
      </c>
      <c r="D31" s="15">
        <v>125</v>
      </c>
      <c r="E31" s="15">
        <v>39</v>
      </c>
      <c r="F31" s="15">
        <v>36</v>
      </c>
      <c r="G31" s="15">
        <v>49</v>
      </c>
      <c r="H31" s="15">
        <v>124</v>
      </c>
      <c r="I31">
        <v>1.1000000000000001</v>
      </c>
      <c r="J31">
        <v>0</v>
      </c>
      <c r="K31">
        <v>0.5</v>
      </c>
      <c r="M31" s="6">
        <f>ABS(D31-H31)</f>
        <v>1</v>
      </c>
      <c r="O31" t="s">
        <v>88</v>
      </c>
      <c r="P31" s="4">
        <v>967.53</v>
      </c>
      <c r="Q31" s="4">
        <v>3011.46</v>
      </c>
      <c r="R31" s="4">
        <f>Table1[[#This Row],[max]]-Table1[[#This Row],[min]]</f>
        <v>2043.93</v>
      </c>
      <c r="S31" s="4">
        <f>VLOOKUP(Table1[[#This Row],[finger]],fingerMaxMin[],3)-Table1[[#This Row],[max]]</f>
        <v>-3.4600000000000364</v>
      </c>
      <c r="T31" s="7">
        <f>P31/scale</f>
        <v>52.079341156206269</v>
      </c>
      <c r="U31" s="7">
        <f>Q31/scale</f>
        <v>162.09818064377222</v>
      </c>
      <c r="V31" s="28">
        <f>Table1[[#This Row],[scaled max]]-Table1[[#This Row],[scaled min]]</f>
        <v>110.01883948756596</v>
      </c>
      <c r="W31" s="28">
        <f>(VLOOKUP(Table1[[#This Row],[finger]],fingerMaxMin[],3)/scale)-T31</f>
        <v>109.83259769619981</v>
      </c>
      <c r="X31" s="8">
        <f>SIN(RADIANS(T31))</f>
        <v>0.7888625438990039</v>
      </c>
      <c r="Y31" s="8">
        <f>SIN(RADIANS(U31))</f>
        <v>0.30738683434177977</v>
      </c>
      <c r="AA31">
        <f>COS(RADIANS(T31))</f>
        <v>0.61456967614192626</v>
      </c>
      <c r="AB31">
        <f>COS(RADIANS(U31))</f>
        <v>-0.95158464367251072</v>
      </c>
      <c r="AD31" s="1">
        <f>P31/Q31</f>
        <v>0.32128270008567272</v>
      </c>
      <c r="AF31" t="s">
        <v>88</v>
      </c>
      <c r="AG31">
        <v>1804.47</v>
      </c>
      <c r="AH31">
        <v>2143.08</v>
      </c>
      <c r="AI31" s="6">
        <f>Table1[[#This Row],[Smax]]-Table1[[#This Row],[Smin]]</f>
        <v>338.6099999999999</v>
      </c>
      <c r="AJ31" s="6">
        <f>AVERAGE(Table1[[#This Row],[Smin]:[Smax]])</f>
        <v>1973.7750000000001</v>
      </c>
      <c r="AL31" s="6"/>
    </row>
    <row r="32" spans="1:1031" ht="12.75" customHeight="1">
      <c r="A32">
        <v>3</v>
      </c>
      <c r="B32" t="s">
        <v>164</v>
      </c>
      <c r="C32" s="6" t="s">
        <v>26</v>
      </c>
      <c r="D32" s="16">
        <v>131.5</v>
      </c>
      <c r="E32" s="16">
        <v>42</v>
      </c>
      <c r="F32" s="16">
        <v>41</v>
      </c>
      <c r="G32" s="16">
        <v>49</v>
      </c>
      <c r="H32" s="16">
        <v>132</v>
      </c>
      <c r="I32" s="5">
        <v>1.1000000000000001</v>
      </c>
      <c r="J32" s="5">
        <v>0</v>
      </c>
      <c r="K32" s="5">
        <v>0.6</v>
      </c>
      <c r="M32" s="6">
        <f>ABS(D32-H32)</f>
        <v>0.5</v>
      </c>
      <c r="O32" s="6" t="s">
        <v>27</v>
      </c>
      <c r="P32" s="4">
        <v>844.9</v>
      </c>
      <c r="Q32" s="4">
        <v>2963.87</v>
      </c>
      <c r="R32" s="4">
        <f>Table1[[#This Row],[max]]-Table1[[#This Row],[min]]</f>
        <v>2118.9699999999998</v>
      </c>
      <c r="S32" s="4">
        <f>VLOOKUP(Table1[[#This Row],[finger]],fingerMaxMin[],3)-Table1[[#This Row],[max]]</f>
        <v>44.130000000000109</v>
      </c>
      <c r="T32" s="7">
        <f>P32/scale</f>
        <v>45.47852298417483</v>
      </c>
      <c r="U32" s="7">
        <f>Q32/scale</f>
        <v>159.53654860587793</v>
      </c>
      <c r="V32" s="28">
        <f>Table1[[#This Row],[scaled max]]-Table1[[#This Row],[scaled min]]</f>
        <v>114.05802562170309</v>
      </c>
      <c r="W32" s="28">
        <f>(VLOOKUP(Table1[[#This Row],[finger]],fingerMaxMin[],3)/scale)-T32</f>
        <v>116.43341586823125</v>
      </c>
      <c r="X32" s="8">
        <f>SIN(RADIANS(T32))</f>
        <v>0.71298766697085281</v>
      </c>
      <c r="Y32" s="8">
        <f>SIN(RADIANS(U32))</f>
        <v>0.34960981293874693</v>
      </c>
      <c r="AA32">
        <f>COS(RADIANS(T32))</f>
        <v>0.70117657315932935</v>
      </c>
      <c r="AB32">
        <f>COS(RADIANS(U32))</f>
        <v>-0.93689539367900321</v>
      </c>
      <c r="AD32" s="1">
        <f>P32/Q32</f>
        <v>0.28506648402257861</v>
      </c>
      <c r="AF32" t="s">
        <v>27</v>
      </c>
      <c r="AG32">
        <v>1773.47</v>
      </c>
      <c r="AH32">
        <v>2157.6799999999998</v>
      </c>
      <c r="AI32" s="6">
        <f>Table1[[#This Row],[Smax]]-Table1[[#This Row],[Smin]]</f>
        <v>384.20999999999981</v>
      </c>
      <c r="AJ32" s="6">
        <f>AVERAGE(Table1[[#This Row],[Smin]:[Smax]])</f>
        <v>1965.5749999999998</v>
      </c>
      <c r="AL32" s="6"/>
    </row>
    <row r="33" spans="1:38" ht="12.75" customHeight="1">
      <c r="A33">
        <v>3</v>
      </c>
      <c r="B33" t="s">
        <v>164</v>
      </c>
      <c r="C33" s="1" t="s">
        <v>20</v>
      </c>
      <c r="D33" s="16">
        <v>129</v>
      </c>
      <c r="E33" s="16">
        <v>47</v>
      </c>
      <c r="F33" s="16">
        <v>43</v>
      </c>
      <c r="G33" s="16">
        <v>43</v>
      </c>
      <c r="H33" s="16">
        <v>133</v>
      </c>
      <c r="I33" s="5">
        <v>1.1000000000000001</v>
      </c>
      <c r="J33" s="5">
        <v>0</v>
      </c>
      <c r="K33" s="5">
        <v>0.5</v>
      </c>
      <c r="M33" s="6">
        <f>ABS(D33-H33)</f>
        <v>4</v>
      </c>
      <c r="O33" s="6" t="s">
        <v>21</v>
      </c>
      <c r="P33" s="4">
        <v>815.55</v>
      </c>
      <c r="Q33" s="4">
        <v>3009.99</v>
      </c>
      <c r="R33" s="4">
        <f>Table1[[#This Row],[max]]-Table1[[#This Row],[min]]</f>
        <v>2194.4399999999996</v>
      </c>
      <c r="S33" s="4">
        <f>VLOOKUP(Table1[[#This Row],[finger]],fingerMaxMin[],3)-Table1[[#This Row],[max]]</f>
        <v>-1.9899999999997817</v>
      </c>
      <c r="T33" s="7">
        <f>P33/scale</f>
        <v>43.898697384002581</v>
      </c>
      <c r="U33" s="7">
        <f>Q33/scale</f>
        <v>162.01905479599526</v>
      </c>
      <c r="V33" s="28">
        <f>Table1[[#This Row],[scaled max]]-Table1[[#This Row],[scaled min]]</f>
        <v>118.12035741199267</v>
      </c>
      <c r="W33" s="28">
        <f>(VLOOKUP(Table1[[#This Row],[finger]],fingerMaxMin[],3)/scale)-T33</f>
        <v>118.01324146840349</v>
      </c>
      <c r="X33" s="8">
        <f>SIN(RADIANS(T33))</f>
        <v>0.69338544641173083</v>
      </c>
      <c r="Y33" s="8">
        <f>SIN(RADIANS(U33))</f>
        <v>0.30870068544533052</v>
      </c>
      <c r="AA33">
        <f>COS(RADIANS(T33))</f>
        <v>0.72056687594171631</v>
      </c>
      <c r="AB33">
        <f>COS(RADIANS(U33))</f>
        <v>-0.95115923314952011</v>
      </c>
      <c r="AD33" s="1">
        <f>P33/Q33</f>
        <v>0.2709477440124386</v>
      </c>
      <c r="AF33" t="s">
        <v>21</v>
      </c>
      <c r="AG33">
        <v>1860.52</v>
      </c>
      <c r="AH33">
        <v>2336.9499999999998</v>
      </c>
      <c r="AI33" s="6">
        <f>Table1[[#This Row],[Smax]]-Table1[[#This Row],[Smin]]</f>
        <v>476.42999999999984</v>
      </c>
      <c r="AJ33" s="6">
        <f>AVERAGE(Table1[[#This Row],[Smin]:[Smax]])</f>
        <v>2098.7349999999997</v>
      </c>
      <c r="AL33" s="6"/>
    </row>
    <row r="34" spans="1:38" ht="12.75" customHeight="1">
      <c r="A34">
        <v>4</v>
      </c>
      <c r="B34" t="s">
        <v>164</v>
      </c>
      <c r="C34" s="6" t="s">
        <v>24</v>
      </c>
      <c r="D34" s="16">
        <v>97.9</v>
      </c>
      <c r="E34" s="16">
        <v>34</v>
      </c>
      <c r="F34" s="16">
        <v>35</v>
      </c>
      <c r="G34" s="16">
        <v>30</v>
      </c>
      <c r="H34" s="16">
        <v>99</v>
      </c>
      <c r="I34" s="5">
        <v>1.1000000000000001</v>
      </c>
      <c r="J34" s="5">
        <v>0</v>
      </c>
      <c r="K34" s="5">
        <v>0.6</v>
      </c>
      <c r="M34" s="6">
        <f>ABS(D34-H34)</f>
        <v>1.0999999999999943</v>
      </c>
      <c r="O34" s="6" t="s">
        <v>25</v>
      </c>
      <c r="P34" s="4">
        <v>1114.17</v>
      </c>
      <c r="Q34" s="4">
        <v>2933.07</v>
      </c>
      <c r="R34" s="4">
        <f>Table1[[#This Row],[max]]-Table1[[#This Row],[min]]</f>
        <v>1818.9</v>
      </c>
      <c r="S34" s="4">
        <f>VLOOKUP(Table1[[#This Row],[finger]],fingerMaxMin[],3)-Table1[[#This Row],[max]]</f>
        <v>157.92999999999984</v>
      </c>
      <c r="T34" s="7">
        <f>P34/scale</f>
        <v>59.972548175261068</v>
      </c>
      <c r="U34" s="7">
        <f>Q34/scale</f>
        <v>157.87867370007538</v>
      </c>
      <c r="V34" s="28">
        <f>Table1[[#This Row],[scaled max]]-Table1[[#This Row],[scaled min]]</f>
        <v>97.906125524814314</v>
      </c>
      <c r="W34" s="28">
        <f>(VLOOKUP(Table1[[#This Row],[finger]],fingerMaxMin[],3)/scale)-T34</f>
        <v>106.40704058563892</v>
      </c>
      <c r="X34" s="8">
        <f>SIN(RADIANS(T34))</f>
        <v>0.86578574202730452</v>
      </c>
      <c r="Y34" s="8">
        <f>SIN(RADIANS(U34))</f>
        <v>0.37656910413738659</v>
      </c>
      <c r="AA34">
        <f>COS(RADIANS(T34))</f>
        <v>0.50041487677948748</v>
      </c>
      <c r="AB34">
        <f>COS(RADIANS(U34))</f>
        <v>-0.92638853069819793</v>
      </c>
      <c r="AD34" s="1">
        <f>P34/Q34</f>
        <v>0.37986478331577495</v>
      </c>
      <c r="AF34" t="s">
        <v>25</v>
      </c>
      <c r="AG34">
        <v>2010.77</v>
      </c>
      <c r="AH34">
        <v>2356.11</v>
      </c>
      <c r="AI34" s="6">
        <f>Table1[[#This Row],[Smax]]-Table1[[#This Row],[Smin]]</f>
        <v>345.34000000000015</v>
      </c>
      <c r="AJ34" s="6">
        <f>AVERAGE(Table1[[#This Row],[Smin]:[Smax]])</f>
        <v>2183.44</v>
      </c>
      <c r="AL34" s="6"/>
    </row>
    <row r="35" spans="1:38" ht="12.75" customHeight="1">
      <c r="A35">
        <v>4</v>
      </c>
      <c r="B35" t="s">
        <v>164</v>
      </c>
      <c r="C35" t="s">
        <v>89</v>
      </c>
      <c r="D35" s="15">
        <v>104.5</v>
      </c>
      <c r="E35" s="15">
        <v>44</v>
      </c>
      <c r="F35" s="15">
        <v>25</v>
      </c>
      <c r="G35" s="15">
        <v>32</v>
      </c>
      <c r="H35" s="15">
        <v>101</v>
      </c>
      <c r="I35">
        <v>2.9000000000000021</v>
      </c>
      <c r="J35">
        <v>-34</v>
      </c>
      <c r="K35">
        <v>0.3</v>
      </c>
      <c r="M35" s="6">
        <f>ABS(D35-H35)</f>
        <v>3.5</v>
      </c>
      <c r="O35" t="s">
        <v>87</v>
      </c>
      <c r="P35">
        <v>650.91</v>
      </c>
      <c r="Q35">
        <v>3052.2</v>
      </c>
      <c r="R35" s="4">
        <f>Table1[[#This Row],[max]]-Table1[[#This Row],[min]]</f>
        <v>2401.29</v>
      </c>
      <c r="S35" s="4">
        <f>VLOOKUP(Table1[[#This Row],[finger]],fingerMaxMin[],3)-Table1[[#This Row],[max]]</f>
        <v>38.800000000000182</v>
      </c>
      <c r="T35" s="7">
        <f>P35/scale</f>
        <v>35.036602432985248</v>
      </c>
      <c r="U35" s="7">
        <f>Q35/scale</f>
        <v>164.29109699644741</v>
      </c>
      <c r="V35" s="28">
        <f>Table1[[#This Row],[scaled max]]-Table1[[#This Row],[scaled min]]</f>
        <v>129.25449456346217</v>
      </c>
      <c r="W35" s="28">
        <f>(VLOOKUP(Table1[[#This Row],[finger]],fingerMaxMin[],3)/scale)-T35</f>
        <v>131.34298632791473</v>
      </c>
      <c r="X35" s="8">
        <f>SIN(RADIANS(T35))</f>
        <v>0.57409962060821329</v>
      </c>
      <c r="Y35" s="8">
        <f>SIN(RADIANS(U35))</f>
        <v>0.27075003222639271</v>
      </c>
      <c r="AA35">
        <f>COS(RADIANS(T35))</f>
        <v>0.81878545762458776</v>
      </c>
      <c r="AB35">
        <f>COS(RADIANS(U35))</f>
        <v>-0.96264968708736787</v>
      </c>
      <c r="AD35" s="1">
        <f>P35/Q35</f>
        <v>0.21325928838215058</v>
      </c>
      <c r="AF35" t="s">
        <v>87</v>
      </c>
      <c r="AG35">
        <v>1840.49</v>
      </c>
      <c r="AH35">
        <v>2408.4699999999998</v>
      </c>
      <c r="AI35" s="6">
        <f>Table1[[#This Row],[Smax]]-Table1[[#This Row],[Smin]]</f>
        <v>567.97999999999979</v>
      </c>
      <c r="AJ35" s="6">
        <f>AVERAGE(Table1[[#This Row],[Smin]:[Smax]])</f>
        <v>2124.48</v>
      </c>
      <c r="AL35" s="6"/>
    </row>
    <row r="36" spans="1:38" ht="12.75" customHeight="1">
      <c r="A36">
        <v>4</v>
      </c>
      <c r="B36" t="s">
        <v>56</v>
      </c>
      <c r="C36" s="6" t="s">
        <v>38</v>
      </c>
      <c r="D36" s="4">
        <v>105.2</v>
      </c>
      <c r="E36" s="4">
        <v>40</v>
      </c>
      <c r="F36" s="4">
        <v>29</v>
      </c>
      <c r="G36" s="4">
        <v>35</v>
      </c>
      <c r="H36" s="4">
        <v>104</v>
      </c>
      <c r="I36" s="5">
        <v>1.1000000000000001</v>
      </c>
      <c r="J36" s="5">
        <v>0</v>
      </c>
      <c r="K36" s="5">
        <v>0.5</v>
      </c>
      <c r="M36" s="6">
        <f>ABS(D36-H36)</f>
        <v>1.2000000000000028</v>
      </c>
      <c r="O36" s="6" t="s">
        <v>39</v>
      </c>
      <c r="P36" s="4">
        <v>870.7</v>
      </c>
      <c r="Q36" s="4">
        <v>3093.26</v>
      </c>
      <c r="R36" s="4">
        <f>Table1[[#This Row],[max]]-Table1[[#This Row],[min]]</f>
        <v>2222.5600000000004</v>
      </c>
      <c r="S36" s="4">
        <f>VLOOKUP(Table1[[#This Row],[finger]],fingerMaxMin[],3)-Table1[[#This Row],[max]]</f>
        <v>-2.2600000000002183</v>
      </c>
      <c r="T36" s="7">
        <f>P36/scale</f>
        <v>46.867262353321138</v>
      </c>
      <c r="U36" s="7">
        <f>Q36/scale</f>
        <v>166.50123802346863</v>
      </c>
      <c r="V36" s="28">
        <f>Table1[[#This Row],[scaled max]]-Table1[[#This Row],[scaled min]]</f>
        <v>119.63397567014749</v>
      </c>
      <c r="W36" s="28">
        <f>(VLOOKUP(Table1[[#This Row],[finger]],fingerMaxMin[],3)/scale)-T36</f>
        <v>119.51232640757885</v>
      </c>
      <c r="X36" s="8">
        <f>SIN(RADIANS(T36))</f>
        <v>0.72977174867205674</v>
      </c>
      <c r="Y36" s="8">
        <f>SIN(RADIANS(U36))</f>
        <v>0.23342435323498026</v>
      </c>
      <c r="AA36">
        <f>COS(RADIANS(T36))</f>
        <v>0.68369086204228913</v>
      </c>
      <c r="AB36">
        <f>COS(RADIANS(U36))</f>
        <v>-0.97237496436139859</v>
      </c>
      <c r="AD36" s="1">
        <f>P36/Q36</f>
        <v>0.28148296619100882</v>
      </c>
      <c r="AF36" t="s">
        <v>39</v>
      </c>
      <c r="AG36">
        <v>2089.64</v>
      </c>
      <c r="AH36">
        <v>2333.75</v>
      </c>
      <c r="AI36" s="6">
        <f>Table1[[#This Row],[Smax]]-Table1[[#This Row],[Smin]]</f>
        <v>244.11000000000013</v>
      </c>
      <c r="AJ36" s="6">
        <f>AVERAGE(Table1[[#This Row],[Smin]:[Smax]])</f>
        <v>2211.6949999999997</v>
      </c>
      <c r="AL36" s="6"/>
    </row>
    <row r="37" spans="1:38" ht="12.75" customHeight="1">
      <c r="A37">
        <v>4</v>
      </c>
      <c r="B37" t="s">
        <v>56</v>
      </c>
      <c r="C37" s="6" t="s">
        <v>34</v>
      </c>
      <c r="D37" s="4">
        <v>106.9</v>
      </c>
      <c r="E37" s="4">
        <v>37</v>
      </c>
      <c r="F37" s="4">
        <v>32</v>
      </c>
      <c r="G37" s="4">
        <v>37</v>
      </c>
      <c r="H37" s="4">
        <v>106</v>
      </c>
      <c r="I37" s="5">
        <v>1.1000000000000001</v>
      </c>
      <c r="J37" s="5">
        <v>0</v>
      </c>
      <c r="K37" s="5">
        <v>0.6</v>
      </c>
      <c r="M37" s="6">
        <f>ABS(D37-H37)</f>
        <v>0.90000000000000568</v>
      </c>
      <c r="O37" s="6" t="s">
        <v>35</v>
      </c>
      <c r="P37" s="4">
        <v>1245.79</v>
      </c>
      <c r="Q37" s="4">
        <v>3093.06</v>
      </c>
      <c r="R37" s="4">
        <f>Table1[[#This Row],[max]]-Table1[[#This Row],[min]]</f>
        <v>1847.27</v>
      </c>
      <c r="S37" s="4">
        <f>VLOOKUP(Table1[[#This Row],[finger]],fingerMaxMin[],3)-Table1[[#This Row],[max]]</f>
        <v>-2.0599999999999454</v>
      </c>
      <c r="T37" s="7">
        <f>P37/scale</f>
        <v>67.057272042200452</v>
      </c>
      <c r="U37" s="7">
        <f>Q37/scale</f>
        <v>166.49047260200237</v>
      </c>
      <c r="V37" s="28">
        <f>Table1[[#This Row],[scaled max]]-Table1[[#This Row],[scaled min]]</f>
        <v>99.433200559801918</v>
      </c>
      <c r="W37" s="28">
        <f>(VLOOKUP(Table1[[#This Row],[finger]],fingerMaxMin[],3)/scale)-T37</f>
        <v>99.32231671869954</v>
      </c>
      <c r="X37" s="8">
        <f>SIN(RADIANS(T37))</f>
        <v>0.92089496276711702</v>
      </c>
      <c r="Y37" s="8">
        <f>SIN(RADIANS(U37))</f>
        <v>0.23360705063894105</v>
      </c>
      <c r="AA37">
        <f>COS(RADIANS(T37))</f>
        <v>0.38981080994522227</v>
      </c>
      <c r="AB37">
        <f>COS(RADIANS(U37))</f>
        <v>-0.97233108861733675</v>
      </c>
      <c r="AD37" s="1">
        <f>P37/Q37</f>
        <v>0.40276942574667157</v>
      </c>
      <c r="AF37" t="s">
        <v>35</v>
      </c>
      <c r="AG37">
        <v>1814.1</v>
      </c>
      <c r="AH37">
        <v>2383.08</v>
      </c>
      <c r="AI37" s="6">
        <f>Table1[[#This Row],[Smax]]-Table1[[#This Row],[Smin]]</f>
        <v>568.98</v>
      </c>
      <c r="AJ37" s="6">
        <f>AVERAGE(Table1[[#This Row],[Smin]:[Smax]])</f>
        <v>2098.59</v>
      </c>
      <c r="AL37" s="6"/>
    </row>
    <row r="38" spans="1:38" ht="12.75" customHeight="1">
      <c r="A38">
        <v>4</v>
      </c>
      <c r="B38" t="s">
        <v>164</v>
      </c>
      <c r="C38" s="6" t="s">
        <v>30</v>
      </c>
      <c r="D38" s="4">
        <v>111.6</v>
      </c>
      <c r="E38" s="4">
        <v>37</v>
      </c>
      <c r="F38" s="4">
        <v>38</v>
      </c>
      <c r="G38" s="4">
        <v>32</v>
      </c>
      <c r="H38" s="4">
        <v>107</v>
      </c>
      <c r="I38" s="5">
        <v>1.1000000000000001</v>
      </c>
      <c r="J38" s="5">
        <v>0</v>
      </c>
      <c r="K38" s="5">
        <v>0.6</v>
      </c>
      <c r="M38" s="6">
        <f>ABS(D38-H38)</f>
        <v>4.5999999999999943</v>
      </c>
      <c r="O38" s="6" t="s">
        <v>31</v>
      </c>
      <c r="P38" s="4">
        <v>944.04</v>
      </c>
      <c r="Q38" s="4">
        <v>2972.18</v>
      </c>
      <c r="R38" s="4">
        <f>Table1[[#This Row],[max]]-Table1[[#This Row],[min]]</f>
        <v>2028.1399999999999</v>
      </c>
      <c r="S38" s="4">
        <f>VLOOKUP(Table1[[#This Row],[finger]],fingerMaxMin[],3)-Table1[[#This Row],[max]]</f>
        <v>118.82000000000016</v>
      </c>
      <c r="T38" s="7">
        <f>P38/scale</f>
        <v>50.814942404995158</v>
      </c>
      <c r="U38" s="7">
        <f>Q38/scale</f>
        <v>159.98385186780061</v>
      </c>
      <c r="V38" s="28">
        <f>Table1[[#This Row],[scaled max]]-Table1[[#This Row],[scaled min]]</f>
        <v>109.16890946280546</v>
      </c>
      <c r="W38" s="28">
        <f>(VLOOKUP(Table1[[#This Row],[finger]],fingerMaxMin[],3)/scale)-T38</f>
        <v>115.56464635590484</v>
      </c>
      <c r="X38" s="8">
        <f>SIN(RADIANS(T38))</f>
        <v>0.77510929190338418</v>
      </c>
      <c r="Y38" s="8">
        <f>SIN(RADIANS(U38))</f>
        <v>0.34228497089763599</v>
      </c>
      <c r="AA38">
        <f>COS(RADIANS(T38))</f>
        <v>0.63182718017273864</v>
      </c>
      <c r="AB38">
        <f>COS(RADIANS(U38))</f>
        <v>-0.93959618916724252</v>
      </c>
      <c r="AD38" s="1">
        <f>P38/Q38</f>
        <v>0.31762544664185882</v>
      </c>
      <c r="AF38" t="s">
        <v>31</v>
      </c>
      <c r="AG38">
        <v>1979.31</v>
      </c>
      <c r="AH38">
        <v>2343.9299999999998</v>
      </c>
      <c r="AI38" s="6">
        <f>Table1[[#This Row],[Smax]]-Table1[[#This Row],[Smin]]</f>
        <v>364.61999999999989</v>
      </c>
      <c r="AJ38" s="6">
        <f>AVERAGE(Table1[[#This Row],[Smin]:[Smax]])</f>
        <v>2161.62</v>
      </c>
      <c r="AL38" s="6"/>
    </row>
    <row r="39" spans="1:38" ht="12.75" customHeight="1">
      <c r="A39">
        <v>4</v>
      </c>
      <c r="B39" t="s">
        <v>56</v>
      </c>
      <c r="C39" s="6" t="s">
        <v>36</v>
      </c>
      <c r="D39" s="4">
        <v>107.2</v>
      </c>
      <c r="E39" s="4">
        <v>36</v>
      </c>
      <c r="F39" s="4">
        <v>34</v>
      </c>
      <c r="G39" s="4">
        <v>37</v>
      </c>
      <c r="H39" s="4">
        <v>107</v>
      </c>
      <c r="I39" s="5">
        <v>1.3</v>
      </c>
      <c r="J39" s="5">
        <v>0</v>
      </c>
      <c r="K39" s="5">
        <v>0.5</v>
      </c>
      <c r="M39" s="6">
        <f>ABS(D39-H39)</f>
        <v>0.20000000000000284</v>
      </c>
      <c r="O39" s="6" t="s">
        <v>37</v>
      </c>
      <c r="P39" s="4">
        <v>764.1</v>
      </c>
      <c r="Q39" s="4">
        <v>3092.15</v>
      </c>
      <c r="R39" s="4">
        <f>Table1[[#This Row],[max]]-Table1[[#This Row],[min]]</f>
        <v>2328.0500000000002</v>
      </c>
      <c r="S39" s="4">
        <f>VLOOKUP(Table1[[#This Row],[finger]],fingerMaxMin[],3)-Table1[[#This Row],[max]]</f>
        <v>-1.1500000000000909</v>
      </c>
      <c r="T39" s="7">
        <f>P39/scale</f>
        <v>41.129292711809669</v>
      </c>
      <c r="U39" s="7">
        <f>Q39/scale</f>
        <v>166.44148993433095</v>
      </c>
      <c r="V39" s="28">
        <f>Table1[[#This Row],[scaled max]]-Table1[[#This Row],[scaled min]]</f>
        <v>125.31219722252128</v>
      </c>
      <c r="W39" s="28">
        <f>(VLOOKUP(Table1[[#This Row],[finger]],fingerMaxMin[],3)/scale)-T39</f>
        <v>125.25029604909032</v>
      </c>
      <c r="X39" s="8">
        <f>SIN(RADIANS(T39))</f>
        <v>0.65776042236509868</v>
      </c>
      <c r="Y39" s="8">
        <f>SIN(RADIANS(U39))</f>
        <v>0.2344382196002964</v>
      </c>
      <c r="AA39">
        <f>COS(RADIANS(T39))</f>
        <v>0.75322720793269737</v>
      </c>
      <c r="AB39">
        <f>COS(RADIANS(U39))</f>
        <v>-0.97213102058860523</v>
      </c>
      <c r="AD39" s="1">
        <f>P39/Q39</f>
        <v>0.24710961628640266</v>
      </c>
      <c r="AF39" t="s">
        <v>37</v>
      </c>
      <c r="AG39">
        <v>2127.7199999999998</v>
      </c>
      <c r="AH39">
        <v>2411.0500000000002</v>
      </c>
      <c r="AI39" s="6">
        <f>Table1[[#This Row],[Smax]]-Table1[[#This Row],[Smin]]</f>
        <v>283.33000000000038</v>
      </c>
      <c r="AJ39" s="6">
        <f>AVERAGE(Table1[[#This Row],[Smin]:[Smax]])</f>
        <v>2269.3850000000002</v>
      </c>
      <c r="AL39" s="6"/>
    </row>
    <row r="40" spans="1:38" ht="12.75" customHeight="1">
      <c r="A40">
        <v>4</v>
      </c>
      <c r="B40" t="s">
        <v>56</v>
      </c>
      <c r="C40" s="6" t="s">
        <v>101</v>
      </c>
      <c r="D40" s="4">
        <v>109.5</v>
      </c>
      <c r="E40" s="4">
        <v>38</v>
      </c>
      <c r="F40" s="4">
        <v>36</v>
      </c>
      <c r="G40" s="4">
        <v>35</v>
      </c>
      <c r="H40" s="4">
        <v>109</v>
      </c>
      <c r="I40" s="5">
        <v>1.1000000000000001</v>
      </c>
      <c r="J40" s="5">
        <v>0</v>
      </c>
      <c r="K40" s="5">
        <v>0.5</v>
      </c>
      <c r="M40" s="6">
        <f>ABS(D40-H40)</f>
        <v>0.5</v>
      </c>
      <c r="O40" t="s">
        <v>102</v>
      </c>
      <c r="P40">
        <v>877.6</v>
      </c>
      <c r="Q40">
        <v>3095.24</v>
      </c>
      <c r="R40" s="4">
        <f>Table1[[#This Row],[max]]-Table1[[#This Row],[min]]</f>
        <v>2217.64</v>
      </c>
      <c r="S40" s="4">
        <f>VLOOKUP(Table1[[#This Row],[finger]],fingerMaxMin[],3)-Table1[[#This Row],[max]]</f>
        <v>-4.2399999999997817</v>
      </c>
      <c r="T40" s="7">
        <f>P40/scale</f>
        <v>47.238669393906775</v>
      </c>
      <c r="U40" s="7">
        <f>Q40/scale</f>
        <v>166.6078156959845</v>
      </c>
      <c r="V40" s="28">
        <f>Table1[[#This Row],[scaled max]]-Table1[[#This Row],[scaled min]]</f>
        <v>119.36914630207772</v>
      </c>
      <c r="W40" s="28">
        <f>(VLOOKUP(Table1[[#This Row],[finger]],fingerMaxMin[],3)/scale)-T40</f>
        <v>119.14091936699322</v>
      </c>
      <c r="X40" s="8">
        <f>SIN(RADIANS(T40))</f>
        <v>0.73418825789784525</v>
      </c>
      <c r="Y40" s="8">
        <f>SIN(RADIANS(U40))</f>
        <v>0.23161520534250321</v>
      </c>
      <c r="AA40" s="6">
        <f>COS(RADIANS(T40))</f>
        <v>0.67894594922197382</v>
      </c>
      <c r="AB40" s="6">
        <f>COS(RADIANS(U40))</f>
        <v>-0.97280748180415944</v>
      </c>
      <c r="AD40" s="1">
        <f>P40/Q40</f>
        <v>0.28353213321099496</v>
      </c>
      <c r="AF40" t="s">
        <v>102</v>
      </c>
      <c r="AG40">
        <v>1960.96</v>
      </c>
      <c r="AH40">
        <v>2381.1</v>
      </c>
      <c r="AI40" s="6">
        <f>Table1[[#This Row],[Smax]]-Table1[[#This Row],[Smin]]</f>
        <v>420.13999999999987</v>
      </c>
      <c r="AJ40" s="6">
        <f>AVERAGE(Table1[[#This Row],[Smin]:[Smax]])</f>
        <v>2171.0299999999997</v>
      </c>
      <c r="AL40" s="6"/>
    </row>
    <row r="41" spans="1:38" ht="12.75" customHeight="1">
      <c r="A41">
        <v>4</v>
      </c>
      <c r="B41" t="s">
        <v>56</v>
      </c>
      <c r="C41" s="6" t="s">
        <v>16</v>
      </c>
      <c r="D41" s="16">
        <v>105.1</v>
      </c>
      <c r="E41" s="16">
        <v>37</v>
      </c>
      <c r="F41" s="16">
        <v>36</v>
      </c>
      <c r="G41" s="16">
        <v>38</v>
      </c>
      <c r="H41" s="16">
        <v>111</v>
      </c>
      <c r="I41" s="5">
        <v>1.1000000000000001</v>
      </c>
      <c r="J41" s="5">
        <v>5</v>
      </c>
      <c r="K41" s="5">
        <v>0.4</v>
      </c>
      <c r="M41" s="6">
        <f>ABS(D41-H41)</f>
        <v>5.9000000000000057</v>
      </c>
      <c r="O41" s="6" t="s">
        <v>17</v>
      </c>
      <c r="P41" s="4">
        <v>861.94</v>
      </c>
      <c r="Q41" s="4">
        <v>3050.04</v>
      </c>
      <c r="R41" s="4">
        <f>Table1[[#This Row],[max]]-Table1[[#This Row],[min]]</f>
        <v>2188.1</v>
      </c>
      <c r="S41" s="4">
        <f>VLOOKUP(Table1[[#This Row],[finger]],fingerMaxMin[],3)-Table1[[#This Row],[max]]</f>
        <v>40.960000000000036</v>
      </c>
      <c r="T41" s="7">
        <f>P41/scale</f>
        <v>46.395736893099368</v>
      </c>
      <c r="U41" s="7">
        <f>Q41/scale</f>
        <v>164.1748304446119</v>
      </c>
      <c r="V41" s="28">
        <f>Table1[[#This Row],[scaled max]]-Table1[[#This Row],[scaled min]]</f>
        <v>117.77909355151253</v>
      </c>
      <c r="W41" s="28">
        <f>(VLOOKUP(Table1[[#This Row],[finger]],fingerMaxMin[],3)/scale)-T41</f>
        <v>119.98385186780062</v>
      </c>
      <c r="X41" s="8">
        <f>SIN(RADIANS(T41))</f>
        <v>0.72412054811717153</v>
      </c>
      <c r="Y41" s="8">
        <f>SIN(RADIANS(U41))</f>
        <v>0.27270291504927918</v>
      </c>
      <c r="AA41">
        <f>COS(RADIANS(T41))</f>
        <v>0.68967342401638698</v>
      </c>
      <c r="AB41">
        <f>COS(RADIANS(U41))</f>
        <v>-0.96209829026125271</v>
      </c>
      <c r="AD41" s="1">
        <f>P41/Q41</f>
        <v>0.28259957246462342</v>
      </c>
      <c r="AF41" t="s">
        <v>17</v>
      </c>
      <c r="AG41">
        <v>1785.31</v>
      </c>
      <c r="AH41">
        <v>2185.85</v>
      </c>
      <c r="AI41" s="6">
        <f>Table1[[#This Row],[Smax]]-Table1[[#This Row],[Smin]]</f>
        <v>400.53999999999996</v>
      </c>
      <c r="AJ41" s="6">
        <f>AVERAGE(Table1[[#This Row],[Smin]:[Smax]])</f>
        <v>1985.58</v>
      </c>
      <c r="AL41" s="6"/>
    </row>
    <row r="42" spans="1:38" ht="12.75" customHeight="1">
      <c r="A42">
        <v>4</v>
      </c>
      <c r="B42" t="s">
        <v>56</v>
      </c>
      <c r="C42" s="6" t="s">
        <v>32</v>
      </c>
      <c r="D42" s="4">
        <v>109</v>
      </c>
      <c r="E42" s="4">
        <v>40</v>
      </c>
      <c r="F42" s="4">
        <v>32</v>
      </c>
      <c r="G42" s="4">
        <v>39</v>
      </c>
      <c r="H42" s="4">
        <v>111</v>
      </c>
      <c r="I42" s="5">
        <v>1.1000000000000001</v>
      </c>
      <c r="J42" s="5">
        <v>0</v>
      </c>
      <c r="K42" s="5">
        <v>0.5</v>
      </c>
      <c r="M42" s="6">
        <f>ABS(D42-H42)</f>
        <v>2</v>
      </c>
      <c r="O42" s="6" t="s">
        <v>33</v>
      </c>
      <c r="P42" s="4">
        <v>937.84</v>
      </c>
      <c r="Q42" s="4">
        <v>3092.77</v>
      </c>
      <c r="R42" s="4">
        <f>Table1[[#This Row],[max]]-Table1[[#This Row],[min]]</f>
        <v>2154.9299999999998</v>
      </c>
      <c r="S42" s="4">
        <f>VLOOKUP(Table1[[#This Row],[finger]],fingerMaxMin[],3)-Table1[[#This Row],[max]]</f>
        <v>-1.7699999999999818</v>
      </c>
      <c r="T42" s="7">
        <f>P42/scale</f>
        <v>50.481214339541395</v>
      </c>
      <c r="U42" s="7">
        <f>Q42/scale</f>
        <v>166.47486274087632</v>
      </c>
      <c r="V42" s="28">
        <f>Table1[[#This Row],[scaled max]]-Table1[[#This Row],[scaled min]]</f>
        <v>115.99364840133492</v>
      </c>
      <c r="W42" s="28">
        <f>(VLOOKUP(Table1[[#This Row],[finger]],fingerMaxMin[],3)/scale)-T42</f>
        <v>115.8983744213586</v>
      </c>
      <c r="X42" s="8">
        <f>SIN(RADIANS(T42))</f>
        <v>0.77141598991562488</v>
      </c>
      <c r="Y42" s="8">
        <f>SIN(RADIANS(U42))</f>
        <v>0.23387194722400367</v>
      </c>
      <c r="AA42">
        <f>COS(RADIANS(T42))</f>
        <v>0.63633117989180488</v>
      </c>
      <c r="AB42">
        <f>COS(RADIANS(U42))</f>
        <v>-0.97226740781621024</v>
      </c>
      <c r="AD42" s="1">
        <f>P42/Q42</f>
        <v>0.30323625746499094</v>
      </c>
      <c r="AF42" t="s">
        <v>33</v>
      </c>
      <c r="AG42">
        <v>2016.97</v>
      </c>
      <c r="AH42">
        <v>2353.14</v>
      </c>
      <c r="AI42" s="6">
        <f>Table1[[#This Row],[Smax]]-Table1[[#This Row],[Smin]]</f>
        <v>336.16999999999985</v>
      </c>
      <c r="AJ42" s="6">
        <f>AVERAGE(Table1[[#This Row],[Smin]:[Smax]])</f>
        <v>2185.0549999999998</v>
      </c>
      <c r="AL42" s="6"/>
    </row>
    <row r="43" spans="1:38" ht="12.75" customHeight="1">
      <c r="A43">
        <v>4</v>
      </c>
      <c r="B43" t="s">
        <v>56</v>
      </c>
      <c r="C43" s="1" t="s">
        <v>22</v>
      </c>
      <c r="D43" s="15">
        <v>108.8</v>
      </c>
      <c r="E43" s="15">
        <v>34</v>
      </c>
      <c r="F43" s="15">
        <v>34</v>
      </c>
      <c r="G43" s="15">
        <v>44</v>
      </c>
      <c r="H43" s="15">
        <v>112</v>
      </c>
      <c r="I43" s="5">
        <v>1.1000000000000001</v>
      </c>
      <c r="J43" s="5">
        <v>0</v>
      </c>
      <c r="K43" s="5">
        <v>0.5</v>
      </c>
      <c r="M43" s="6">
        <f>ABS(D43-H43)</f>
        <v>3.2000000000000028</v>
      </c>
      <c r="O43" s="6" t="s">
        <v>23</v>
      </c>
      <c r="P43" s="4">
        <v>954.88</v>
      </c>
      <c r="Q43" s="4">
        <v>2909.09</v>
      </c>
      <c r="R43" s="4">
        <f>Table1[[#This Row],[max]]-Table1[[#This Row],[min]]</f>
        <v>1954.21</v>
      </c>
      <c r="S43" s="4">
        <f>VLOOKUP(Table1[[#This Row],[finger]],fingerMaxMin[],3)-Table1[[#This Row],[max]]</f>
        <v>181.90999999999985</v>
      </c>
      <c r="T43" s="7">
        <f>P43/scale</f>
        <v>51.398428248465926</v>
      </c>
      <c r="U43" s="7">
        <f>Q43/scale</f>
        <v>156.58789966627194</v>
      </c>
      <c r="V43" s="28">
        <f>Table1[[#This Row],[scaled max]]-Table1[[#This Row],[scaled min]]</f>
        <v>105.189471417806</v>
      </c>
      <c r="W43" s="28">
        <f>(VLOOKUP(Table1[[#This Row],[finger]],fingerMaxMin[],3)/scale)-T43</f>
        <v>114.98116051243406</v>
      </c>
      <c r="X43" s="8">
        <f>SIN(RADIANS(T43))</f>
        <v>0.78150335771037605</v>
      </c>
      <c r="Y43" s="8">
        <f>SIN(RADIANS(U43))</f>
        <v>0.39734170298556476</v>
      </c>
      <c r="AA43">
        <f>COS(RADIANS(T43))</f>
        <v>0.62390103533125185</v>
      </c>
      <c r="AB43">
        <f>COS(RADIANS(U43))</f>
        <v>-0.91767073129120291</v>
      </c>
      <c r="AD43" s="1">
        <f>P43/Q43</f>
        <v>0.32824010257503206</v>
      </c>
      <c r="AF43" t="s">
        <v>23</v>
      </c>
      <c r="AG43">
        <v>1855.34</v>
      </c>
      <c r="AH43">
        <v>2380.67</v>
      </c>
      <c r="AI43" s="6">
        <f>Table1[[#This Row],[Smax]]-Table1[[#This Row],[Smin]]</f>
        <v>525.33000000000015</v>
      </c>
      <c r="AJ43" s="6">
        <f>AVERAGE(Table1[[#This Row],[Smin]:[Smax]])</f>
        <v>2118.0050000000001</v>
      </c>
      <c r="AL43" s="6"/>
    </row>
    <row r="44" spans="1:38" ht="12.75" customHeight="1">
      <c r="A44">
        <v>4</v>
      </c>
      <c r="B44" t="s">
        <v>164</v>
      </c>
      <c r="C44" s="6" t="s">
        <v>14</v>
      </c>
      <c r="D44" s="15">
        <v>111.3</v>
      </c>
      <c r="E44" s="15">
        <v>45</v>
      </c>
      <c r="F44" s="15">
        <v>33</v>
      </c>
      <c r="G44" s="15">
        <v>35</v>
      </c>
      <c r="H44" s="15">
        <v>113</v>
      </c>
      <c r="I44" s="5">
        <v>1.1000000000000001</v>
      </c>
      <c r="J44" s="5">
        <v>0</v>
      </c>
      <c r="K44" s="5">
        <v>0.6</v>
      </c>
      <c r="M44" s="6">
        <f>ABS(D44-H44)</f>
        <v>1.7000000000000028</v>
      </c>
      <c r="O44" s="6" t="s">
        <v>15</v>
      </c>
      <c r="P44" s="4">
        <v>889.04</v>
      </c>
      <c r="Q44" s="4">
        <v>3092.84</v>
      </c>
      <c r="R44" s="4">
        <f>Table1[[#This Row],[max]]-Table1[[#This Row],[min]]</f>
        <v>2203.8000000000002</v>
      </c>
      <c r="S44" s="4">
        <f>VLOOKUP(Table1[[#This Row],[finger]],fingerMaxMin[],3)-Table1[[#This Row],[max]]</f>
        <v>-1.8400000000001455</v>
      </c>
      <c r="T44" s="7">
        <f>P44/scale</f>
        <v>47.854451501776296</v>
      </c>
      <c r="U44" s="7">
        <f>Q44/scale</f>
        <v>166.47863063838952</v>
      </c>
      <c r="V44" s="28">
        <f>Table1[[#This Row],[scaled max]]-Table1[[#This Row],[scaled min]]</f>
        <v>118.62417913661322</v>
      </c>
      <c r="W44" s="28">
        <f>(VLOOKUP(Table1[[#This Row],[finger]],fingerMaxMin[],3)/scale)-T44</f>
        <v>118.5251372591237</v>
      </c>
      <c r="X44" s="8">
        <f>SIN(RADIANS(T44))</f>
        <v>0.74144263667882448</v>
      </c>
      <c r="Y44" s="8">
        <f>SIN(RADIANS(U44))</f>
        <v>0.2338080082576158</v>
      </c>
      <c r="AA44">
        <f>COS(RADIANS(T44))</f>
        <v>0.67101625652047558</v>
      </c>
      <c r="AB44">
        <f>COS(RADIANS(U44))</f>
        <v>-0.97228278565168824</v>
      </c>
      <c r="AD44" s="1">
        <f>P44/Q44</f>
        <v>0.28745101589477629</v>
      </c>
      <c r="AF44" t="s">
        <v>15</v>
      </c>
      <c r="AG44">
        <v>2117.37</v>
      </c>
      <c r="AH44">
        <v>2386.52</v>
      </c>
      <c r="AI44" s="6">
        <f>Table1[[#This Row],[Smax]]-Table1[[#This Row],[Smin]]</f>
        <v>269.15000000000009</v>
      </c>
      <c r="AJ44" s="6">
        <f>AVERAGE(Table1[[#This Row],[Smin]:[Smax]])</f>
        <v>2251.9449999999997</v>
      </c>
      <c r="AL44" s="6"/>
    </row>
    <row r="45" spans="1:38" ht="12.75" customHeight="1">
      <c r="A45">
        <v>4</v>
      </c>
      <c r="B45" t="s">
        <v>164</v>
      </c>
      <c r="C45" s="6" t="s">
        <v>18</v>
      </c>
      <c r="D45" s="16">
        <v>120.3</v>
      </c>
      <c r="E45" s="16">
        <v>39</v>
      </c>
      <c r="F45" s="16">
        <v>39</v>
      </c>
      <c r="G45" s="16">
        <v>39</v>
      </c>
      <c r="H45" s="16">
        <v>117</v>
      </c>
      <c r="I45" s="5">
        <v>1.1000000000000001</v>
      </c>
      <c r="J45" s="5">
        <v>0</v>
      </c>
      <c r="K45" s="5">
        <v>0.6</v>
      </c>
      <c r="M45" s="6">
        <f>ABS(D45-H45)</f>
        <v>3.2999999999999972</v>
      </c>
      <c r="O45" s="6" t="s">
        <v>19</v>
      </c>
      <c r="P45" s="4">
        <v>874.75</v>
      </c>
      <c r="Q45" s="4">
        <v>2886.74</v>
      </c>
      <c r="R45" s="4">
        <f>Table1[[#This Row],[max]]-Table1[[#This Row],[min]]</f>
        <v>2011.9899999999998</v>
      </c>
      <c r="S45" s="4">
        <f>VLOOKUP(Table1[[#This Row],[finger]],fingerMaxMin[],3)-Table1[[#This Row],[max]]</f>
        <v>204.26000000000022</v>
      </c>
      <c r="T45" s="7">
        <f>P45/scale</f>
        <v>47.085262138012702</v>
      </c>
      <c r="U45" s="7">
        <f>Q45/scale</f>
        <v>155.38486381741845</v>
      </c>
      <c r="V45" s="28">
        <f>Table1[[#This Row],[scaled max]]-Table1[[#This Row],[scaled min]]</f>
        <v>108.29960167940575</v>
      </c>
      <c r="W45" s="28">
        <f>(VLOOKUP(Table1[[#This Row],[finger]],fingerMaxMin[],3)/scale)-T45</f>
        <v>119.2943266228873</v>
      </c>
      <c r="X45" s="8">
        <f>SIN(RADIANS(T45))</f>
        <v>0.73236777666312325</v>
      </c>
      <c r="Y45" s="8">
        <f>SIN(RADIANS(U45))</f>
        <v>0.41652097629208557</v>
      </c>
      <c r="AA45">
        <f>COS(RADIANS(T45))</f>
        <v>0.68090927421023839</v>
      </c>
      <c r="AB45">
        <f>COS(RADIANS(U45))</f>
        <v>-0.90912610583388698</v>
      </c>
      <c r="AD45" s="1">
        <f>P45/Q45</f>
        <v>0.30302347977303118</v>
      </c>
      <c r="AF45" t="s">
        <v>19</v>
      </c>
      <c r="AG45">
        <v>2021.62</v>
      </c>
      <c r="AH45">
        <v>2367.02</v>
      </c>
      <c r="AI45" s="6">
        <f>Table1[[#This Row],[Smax]]-Table1[[#This Row],[Smin]]</f>
        <v>345.40000000000009</v>
      </c>
      <c r="AJ45" s="6">
        <f>AVERAGE(Table1[[#This Row],[Smin]:[Smax]])</f>
        <v>2194.3199999999997</v>
      </c>
      <c r="AL45" s="6"/>
    </row>
    <row r="46" spans="1:38" ht="12.75" customHeight="1">
      <c r="A46">
        <v>4</v>
      </c>
      <c r="B46" t="s">
        <v>164</v>
      </c>
      <c r="C46" s="6" t="s">
        <v>28</v>
      </c>
      <c r="D46" s="9">
        <v>115.8</v>
      </c>
      <c r="E46" s="9">
        <v>48</v>
      </c>
      <c r="F46" s="9">
        <v>33</v>
      </c>
      <c r="G46" s="9">
        <v>36</v>
      </c>
      <c r="H46" s="9">
        <v>117</v>
      </c>
      <c r="I46" s="5">
        <v>1.1000000000000001</v>
      </c>
      <c r="J46" s="5">
        <v>0</v>
      </c>
      <c r="K46" s="5">
        <v>0.6</v>
      </c>
      <c r="M46" s="6">
        <f>ABS(D46-H46)</f>
        <v>1.2000000000000028</v>
      </c>
      <c r="O46" s="6" t="s">
        <v>29</v>
      </c>
      <c r="P46" s="4">
        <v>963.4</v>
      </c>
      <c r="Q46" s="4">
        <v>2955.08</v>
      </c>
      <c r="R46" s="4">
        <f>Table1[[#This Row],[max]]-Table1[[#This Row],[min]]</f>
        <v>1991.6799999999998</v>
      </c>
      <c r="S46" s="4">
        <f>VLOOKUP(Table1[[#This Row],[finger]],fingerMaxMin[],3)-Table1[[#This Row],[max]]</f>
        <v>135.92000000000007</v>
      </c>
      <c r="T46" s="7">
        <f>P46/scale</f>
        <v>51.857035202928195</v>
      </c>
      <c r="U46" s="7">
        <f>Q46/scale</f>
        <v>159.06340833243621</v>
      </c>
      <c r="V46" s="28">
        <f>Table1[[#This Row],[scaled max]]-Table1[[#This Row],[scaled min]]</f>
        <v>107.20637312950802</v>
      </c>
      <c r="W46" s="28">
        <f>(VLOOKUP(Table1[[#This Row],[finger]],fingerMaxMin[],3)/scale)-T46</f>
        <v>114.5225535579718</v>
      </c>
      <c r="X46" s="8">
        <f>SIN(RADIANS(T46))</f>
        <v>0.78647209963504983</v>
      </c>
      <c r="Y46" s="8">
        <f>SIN(RADIANS(U46))</f>
        <v>0.3573345516173142</v>
      </c>
      <c r="AA46">
        <f>COS(RADIANS(T46))</f>
        <v>0.61762580620925822</v>
      </c>
      <c r="AB46">
        <f>COS(RADIANS(U46))</f>
        <v>-0.93397645485336134</v>
      </c>
      <c r="AD46" s="1">
        <f>P46/Q46</f>
        <v>0.32601486254179246</v>
      </c>
      <c r="AF46" t="s">
        <v>29</v>
      </c>
      <c r="AG46">
        <v>2086.61</v>
      </c>
      <c r="AH46">
        <v>2394</v>
      </c>
      <c r="AI46" s="6">
        <f>Table1[[#This Row],[Smax]]-Table1[[#This Row],[Smin]]</f>
        <v>307.38999999999987</v>
      </c>
      <c r="AJ46" s="6">
        <f>AVERAGE(Table1[[#This Row],[Smin]:[Smax]])</f>
        <v>2240.3050000000003</v>
      </c>
      <c r="AL46" s="6"/>
    </row>
    <row r="47" spans="1:38" ht="12.75" customHeight="1">
      <c r="A47">
        <v>4</v>
      </c>
      <c r="B47" t="s">
        <v>164</v>
      </c>
      <c r="C47" t="s">
        <v>90</v>
      </c>
      <c r="D47" s="15">
        <v>116.9</v>
      </c>
      <c r="E47" s="15">
        <v>42</v>
      </c>
      <c r="F47" s="15">
        <v>37</v>
      </c>
      <c r="G47" s="15">
        <v>41</v>
      </c>
      <c r="H47" s="15">
        <v>120</v>
      </c>
      <c r="I47">
        <v>1.1000000000000001</v>
      </c>
      <c r="J47">
        <v>0</v>
      </c>
      <c r="K47">
        <v>0.5</v>
      </c>
      <c r="M47" s="6">
        <f>ABS(D47-H47)</f>
        <v>3.0999999999999943</v>
      </c>
      <c r="O47" t="s">
        <v>88</v>
      </c>
      <c r="P47" s="4">
        <v>947.15</v>
      </c>
      <c r="Q47" s="4">
        <v>3048.64</v>
      </c>
      <c r="R47" s="4">
        <f>Table1[[#This Row],[max]]-Table1[[#This Row],[min]]</f>
        <v>2101.4899999999998</v>
      </c>
      <c r="S47" s="4">
        <f>VLOOKUP(Table1[[#This Row],[finger]],fingerMaxMin[],3)-Table1[[#This Row],[max]]</f>
        <v>42.360000000000127</v>
      </c>
      <c r="T47" s="7">
        <f>P47/scale</f>
        <v>50.982344708795353</v>
      </c>
      <c r="U47" s="7">
        <f>Q47/scale</f>
        <v>164.09947249434816</v>
      </c>
      <c r="V47" s="28">
        <f>Table1[[#This Row],[scaled max]]-Table1[[#This Row],[scaled min]]</f>
        <v>113.11712778555281</v>
      </c>
      <c r="W47" s="28">
        <f>(VLOOKUP(Table1[[#This Row],[finger]],fingerMaxMin[],3)/scale)-T47</f>
        <v>115.39724405210464</v>
      </c>
      <c r="X47" s="8">
        <f>SIN(RADIANS(T47))</f>
        <v>0.77695200391493091</v>
      </c>
      <c r="Y47" s="8">
        <f>SIN(RADIANS(U47))</f>
        <v>0.27396807315458388</v>
      </c>
      <c r="AA47">
        <f>COS(RADIANS(T47))</f>
        <v>0.62955983322681341</v>
      </c>
      <c r="AB47">
        <f>COS(RADIANS(U47))</f>
        <v>-0.96173878724525019</v>
      </c>
      <c r="AD47" s="1">
        <f>P47/Q47</f>
        <v>0.31067951611210243</v>
      </c>
      <c r="AF47" t="s">
        <v>88</v>
      </c>
      <c r="AG47">
        <v>2088.56</v>
      </c>
      <c r="AH47">
        <v>2370.3000000000002</v>
      </c>
      <c r="AI47" s="6">
        <f>Table1[[#This Row],[Smax]]-Table1[[#This Row],[Smin]]</f>
        <v>281.74000000000024</v>
      </c>
      <c r="AJ47" s="6">
        <f>AVERAGE(Table1[[#This Row],[Smin]:[Smax]])</f>
        <v>2229.4300000000003</v>
      </c>
      <c r="AL47" s="6"/>
    </row>
    <row r="48" spans="1:38" ht="12.75" customHeight="1">
      <c r="A48">
        <v>4</v>
      </c>
      <c r="B48" t="s">
        <v>164</v>
      </c>
      <c r="C48" s="6" t="s">
        <v>20</v>
      </c>
      <c r="D48" s="16">
        <v>121.3</v>
      </c>
      <c r="E48" s="16">
        <v>45</v>
      </c>
      <c r="F48" s="16">
        <v>38</v>
      </c>
      <c r="G48" s="16">
        <v>38</v>
      </c>
      <c r="H48" s="16">
        <v>121</v>
      </c>
      <c r="I48" s="5">
        <v>1.1000000000000001</v>
      </c>
      <c r="J48" s="5">
        <v>0</v>
      </c>
      <c r="K48" s="5">
        <v>0.5</v>
      </c>
      <c r="M48" s="6">
        <f>ABS(D48-H48)</f>
        <v>0.29999999999999716</v>
      </c>
      <c r="O48" s="6" t="s">
        <v>21</v>
      </c>
      <c r="P48" s="4">
        <v>836.12</v>
      </c>
      <c r="Q48" s="4">
        <v>3091.69</v>
      </c>
      <c r="R48" s="4">
        <f>Table1[[#This Row],[max]]-Table1[[#This Row],[min]]</f>
        <v>2255.5700000000002</v>
      </c>
      <c r="S48" s="4">
        <f>VLOOKUP(Table1[[#This Row],[finger]],fingerMaxMin[],3)-Table1[[#This Row],[max]]</f>
        <v>-0.69000000000005457</v>
      </c>
      <c r="T48" s="7">
        <f>P48/scale</f>
        <v>45.00592098180644</v>
      </c>
      <c r="U48" s="7">
        <f>Q48/scale</f>
        <v>166.41672946495856</v>
      </c>
      <c r="V48" s="28">
        <f>Table1[[#This Row],[scaled max]]-Table1[[#This Row],[scaled min]]</f>
        <v>121.41080848315212</v>
      </c>
      <c r="W48" s="28">
        <f>(VLOOKUP(Table1[[#This Row],[finger]],fingerMaxMin[],3)/scale)-T48</f>
        <v>121.37366777909355</v>
      </c>
      <c r="X48" s="8">
        <f>SIN(RADIANS(T48))</f>
        <v>0.70717985026917818</v>
      </c>
      <c r="Y48" s="8">
        <f>SIN(RADIANS(U48))</f>
        <v>0.23485830578359593</v>
      </c>
      <c r="AA48">
        <f>COS(RADIANS(T48))</f>
        <v>0.70703370455252179</v>
      </c>
      <c r="AB48">
        <f>COS(RADIANS(U48))</f>
        <v>-0.97202961693790946</v>
      </c>
      <c r="AD48" s="1">
        <f>P48/Q48</f>
        <v>0.27044108561983898</v>
      </c>
      <c r="AF48" t="s">
        <v>21</v>
      </c>
      <c r="AG48">
        <v>2090.17</v>
      </c>
      <c r="AH48">
        <v>2409.15</v>
      </c>
      <c r="AI48" s="6">
        <f>Table1[[#This Row],[Smax]]-Table1[[#This Row],[Smin]]</f>
        <v>318.98</v>
      </c>
      <c r="AJ48" s="6">
        <f>AVERAGE(Table1[[#This Row],[Smin]:[Smax]])</f>
        <v>2249.66</v>
      </c>
      <c r="AL48" s="6"/>
    </row>
    <row r="49" spans="1:39">
      <c r="A49">
        <v>4</v>
      </c>
      <c r="B49" t="s">
        <v>164</v>
      </c>
      <c r="C49" s="6" t="s">
        <v>26</v>
      </c>
      <c r="D49" s="9">
        <v>124.8</v>
      </c>
      <c r="E49" s="9">
        <v>44</v>
      </c>
      <c r="F49" s="9">
        <v>40</v>
      </c>
      <c r="G49" s="9">
        <v>42</v>
      </c>
      <c r="H49" s="9">
        <v>126</v>
      </c>
      <c r="I49" s="5">
        <v>1.1000000000000001</v>
      </c>
      <c r="J49" s="5">
        <v>0</v>
      </c>
      <c r="K49" s="5">
        <v>0.6</v>
      </c>
      <c r="M49" s="6">
        <f>ABS(D49-H49)</f>
        <v>1.2000000000000028</v>
      </c>
      <c r="O49" s="6" t="s">
        <v>27</v>
      </c>
      <c r="P49" s="4">
        <v>860.19</v>
      </c>
      <c r="Q49" s="4">
        <v>2946.51</v>
      </c>
      <c r="R49" s="4">
        <f>Table1[[#This Row],[max]]-Table1[[#This Row],[min]]</f>
        <v>2086.3200000000002</v>
      </c>
      <c r="S49" s="4">
        <f>VLOOKUP(Table1[[#This Row],[finger]],fingerMaxMin[],3)-Table1[[#This Row],[max]]</f>
        <v>144.48999999999978</v>
      </c>
      <c r="T49" s="7">
        <f>P49/scale</f>
        <v>46.301539455269676</v>
      </c>
      <c r="U49" s="7">
        <f>Q49/scale</f>
        <v>158.60211002260741</v>
      </c>
      <c r="V49" s="28">
        <f>Table1[[#This Row],[scaled max]]-Table1[[#This Row],[scaled min]]</f>
        <v>112.30057056733773</v>
      </c>
      <c r="W49" s="28">
        <f>(VLOOKUP(Table1[[#This Row],[finger]],fingerMaxMin[],3)/scale)-T49</f>
        <v>120.07804930563032</v>
      </c>
      <c r="X49" s="8">
        <f>SIN(RADIANS(T49))</f>
        <v>0.72298570866629031</v>
      </c>
      <c r="Y49" s="8">
        <f>SIN(RADIANS(U49))</f>
        <v>0.36484249624497234</v>
      </c>
      <c r="AA49">
        <f>COS(RADIANS(T49))</f>
        <v>0.69086298573906968</v>
      </c>
      <c r="AB49">
        <f>COS(RADIANS(U49))</f>
        <v>-0.93106925249077865</v>
      </c>
      <c r="AD49" s="1">
        <f>P49/Q49</f>
        <v>0.29193520469979739</v>
      </c>
      <c r="AF49" t="s">
        <v>27</v>
      </c>
      <c r="AG49">
        <v>1960.64</v>
      </c>
      <c r="AH49">
        <v>2360.61</v>
      </c>
      <c r="AI49" s="6">
        <f>Table1[[#This Row],[Smax]]-Table1[[#This Row],[Smin]]</f>
        <v>399.97</v>
      </c>
      <c r="AJ49" s="6">
        <f>AVERAGE(Table1[[#This Row],[Smin]:[Smax]])</f>
        <v>2160.625</v>
      </c>
      <c r="AL49" s="6"/>
    </row>
    <row r="50" spans="1:39">
      <c r="A50">
        <v>5</v>
      </c>
      <c r="B50" t="s">
        <v>164</v>
      </c>
      <c r="C50" s="6" t="s">
        <v>24</v>
      </c>
      <c r="D50" s="16">
        <v>69</v>
      </c>
      <c r="E50" s="16">
        <v>32</v>
      </c>
      <c r="F50" s="16">
        <v>19</v>
      </c>
      <c r="G50" s="16">
        <v>24</v>
      </c>
      <c r="H50" s="16">
        <v>75</v>
      </c>
      <c r="I50" s="5">
        <v>1.1000000000000001</v>
      </c>
      <c r="J50" s="5">
        <v>0</v>
      </c>
      <c r="K50" s="5">
        <v>0.6</v>
      </c>
      <c r="M50" s="6">
        <f>ABS(D50-H50)</f>
        <v>6</v>
      </c>
      <c r="O50" s="6" t="s">
        <v>25</v>
      </c>
      <c r="P50" s="4"/>
      <c r="Q50" s="4"/>
      <c r="R50" s="4"/>
      <c r="S50" s="4">
        <f>VLOOKUP(Table1[[#This Row],[finger]],fingerMaxMin[],3)-Table1[[#This Row],[max]]</f>
        <v>3020</v>
      </c>
      <c r="T50" s="7">
        <f>P50/scale</f>
        <v>0</v>
      </c>
      <c r="U50" s="7">
        <f>Q50/scale</f>
        <v>0</v>
      </c>
      <c r="V50" s="28">
        <f>Table1[[#This Row],[scaled max]]-Table1[[#This Row],[scaled min]]</f>
        <v>0</v>
      </c>
      <c r="W50" s="28">
        <f>(VLOOKUP(Table1[[#This Row],[finger]],fingerMaxMin[],3)/scale)-T50</f>
        <v>162.5578641403811</v>
      </c>
      <c r="X50" s="8">
        <f>SIN(RADIANS(T50))</f>
        <v>0</v>
      </c>
      <c r="Y50" s="8">
        <f>SIN(RADIANS(U50))</f>
        <v>0</v>
      </c>
      <c r="AA50">
        <f>COS(RADIANS(T50))</f>
        <v>1</v>
      </c>
      <c r="AB50">
        <f>COS(RADIANS(U50))</f>
        <v>1</v>
      </c>
      <c r="AD50" s="1" t="e">
        <f>P50/Q50</f>
        <v>#DIV/0!</v>
      </c>
      <c r="AF50" t="s">
        <v>25</v>
      </c>
      <c r="AG50">
        <v>1823.57</v>
      </c>
      <c r="AH50">
        <v>2356.02</v>
      </c>
      <c r="AI50" s="6">
        <f>Table1[[#This Row],[Smax]]-Table1[[#This Row],[Smin]]</f>
        <v>532.45000000000005</v>
      </c>
      <c r="AJ50" s="6">
        <f>AVERAGE(Table1[[#This Row],[Smin]:[Smax]])</f>
        <v>2089.7950000000001</v>
      </c>
      <c r="AL50" s="6"/>
      <c r="AM50" s="6"/>
    </row>
    <row r="51" spans="1:39">
      <c r="A51">
        <v>5</v>
      </c>
      <c r="B51" t="s">
        <v>56</v>
      </c>
      <c r="C51" s="6" t="s">
        <v>16</v>
      </c>
      <c r="D51" s="16">
        <v>74.8</v>
      </c>
      <c r="E51" s="16">
        <v>37</v>
      </c>
      <c r="F51" s="16">
        <v>20</v>
      </c>
      <c r="G51" s="16">
        <v>27</v>
      </c>
      <c r="H51" s="16">
        <v>84</v>
      </c>
      <c r="I51" s="5">
        <v>1.1000000000000001</v>
      </c>
      <c r="J51" s="5">
        <v>5</v>
      </c>
      <c r="K51" s="5">
        <v>0.4</v>
      </c>
      <c r="M51" s="6">
        <f>ABS(D51-H51)</f>
        <v>9.2000000000000028</v>
      </c>
      <c r="O51" s="6" t="s">
        <v>17</v>
      </c>
      <c r="P51" s="4">
        <v>901.78</v>
      </c>
      <c r="Q51" s="4">
        <v>2778.48</v>
      </c>
      <c r="R51" s="4">
        <f>Table1[[#This Row],[max]]-Table1[[#This Row],[min]]</f>
        <v>1876.7</v>
      </c>
      <c r="S51" s="4">
        <f>VLOOKUP(Table1[[#This Row],[finger]],fingerMaxMin[],3)-Table1[[#This Row],[max]]</f>
        <v>241.51999999999998</v>
      </c>
      <c r="T51" s="7">
        <f>P51/scale</f>
        <v>48.540208849176445</v>
      </c>
      <c r="U51" s="7">
        <f>Q51/scale</f>
        <v>149.55754117773711</v>
      </c>
      <c r="V51" s="28">
        <f>Table1[[#This Row],[scaled max]]-Table1[[#This Row],[scaled min]]</f>
        <v>101.01733232856066</v>
      </c>
      <c r="W51" s="28">
        <f>(VLOOKUP(Table1[[#This Row],[finger]],fingerMaxMin[],3)/scale)-T51</f>
        <v>114.01765529120465</v>
      </c>
      <c r="X51" s="8">
        <f>SIN(RADIANS(T51))</f>
        <v>0.74942054770538624</v>
      </c>
      <c r="Y51" s="8">
        <f>SIN(RADIANS(U51))</f>
        <v>0.50667278763440005</v>
      </c>
      <c r="AA51">
        <f>COS(RADIANS(T51))</f>
        <v>0.66209428533779002</v>
      </c>
      <c r="AB51">
        <f>COS(RADIANS(U51))</f>
        <v>-0.86213843799634993</v>
      </c>
      <c r="AD51" s="1">
        <f>P51/Q51</f>
        <v>0.32455875154760877</v>
      </c>
      <c r="AF51" t="s">
        <v>17</v>
      </c>
      <c r="AG51">
        <v>1480.79</v>
      </c>
      <c r="AH51">
        <v>2304.48</v>
      </c>
      <c r="AI51" s="6">
        <f>Table1[[#This Row],[Smax]]-Table1[[#This Row],[Smin]]</f>
        <v>823.69</v>
      </c>
      <c r="AJ51" s="6">
        <f>AVERAGE(Table1[[#This Row],[Smin]:[Smax]])</f>
        <v>1892.635</v>
      </c>
      <c r="AL51" s="6"/>
      <c r="AM51" s="6"/>
    </row>
    <row r="52" spans="1:39">
      <c r="A52">
        <v>5</v>
      </c>
      <c r="B52" t="s">
        <v>56</v>
      </c>
      <c r="C52" s="6" t="s">
        <v>34</v>
      </c>
      <c r="D52" s="4">
        <v>87.6</v>
      </c>
      <c r="E52" s="4">
        <v>34</v>
      </c>
      <c r="F52" s="4">
        <v>24</v>
      </c>
      <c r="G52" s="4">
        <v>28</v>
      </c>
      <c r="H52" s="4">
        <v>86</v>
      </c>
      <c r="I52" s="5">
        <v>1.1000000000000001</v>
      </c>
      <c r="J52" s="5">
        <v>0</v>
      </c>
      <c r="K52" s="5">
        <v>0.6</v>
      </c>
      <c r="M52" s="6">
        <f>ABS(D52-H52)</f>
        <v>1.5999999999999943</v>
      </c>
      <c r="O52" s="6" t="s">
        <v>35</v>
      </c>
      <c r="P52" s="4">
        <v>1116.1099999999999</v>
      </c>
      <c r="Q52" s="4">
        <v>2771.17</v>
      </c>
      <c r="R52" s="4">
        <f>Table1[[#This Row],[max]]-Table1[[#This Row],[min]]</f>
        <v>1655.0600000000002</v>
      </c>
      <c r="S52" s="4">
        <f>VLOOKUP(Table1[[#This Row],[finger]],fingerMaxMin[],3)-Table1[[#This Row],[max]]</f>
        <v>248.82999999999993</v>
      </c>
      <c r="T52" s="7">
        <f>P52/scale</f>
        <v>60.076972763483688</v>
      </c>
      <c r="U52" s="7">
        <f>Q52/scale</f>
        <v>149.16406502314567</v>
      </c>
      <c r="V52" s="28">
        <f>Table1[[#This Row],[scaled max]]-Table1[[#This Row],[scaled min]]</f>
        <v>89.087092259661972</v>
      </c>
      <c r="W52" s="28">
        <f>(VLOOKUP(Table1[[#This Row],[finger]],fingerMaxMin[],3)/scale)-T52</f>
        <v>102.4808913768974</v>
      </c>
      <c r="X52" s="8">
        <f>SIN(RADIANS(T52))</f>
        <v>0.86669633616009556</v>
      </c>
      <c r="Y52" s="8">
        <f>SIN(RADIANS(U52))</f>
        <v>0.51258148974113316</v>
      </c>
      <c r="AA52">
        <f>COS(RADIANS(T52))</f>
        <v>0.49883610623797736</v>
      </c>
      <c r="AB52">
        <f>COS(RADIANS(U52))</f>
        <v>-0.85863858309230467</v>
      </c>
      <c r="AD52" s="1">
        <f>P52/Q52</f>
        <v>0.40275767996911049</v>
      </c>
      <c r="AF52" t="s">
        <v>35</v>
      </c>
      <c r="AG52">
        <v>1573.65</v>
      </c>
      <c r="AH52">
        <v>2368.02</v>
      </c>
      <c r="AI52" s="6">
        <f>Table1[[#This Row],[Smax]]-Table1[[#This Row],[Smin]]</f>
        <v>794.36999999999989</v>
      </c>
      <c r="AJ52" s="6">
        <f>AVERAGE(Table1[[#This Row],[Smin]:[Smax]])</f>
        <v>1970.835</v>
      </c>
      <c r="AL52" s="6"/>
      <c r="AM52" s="6"/>
    </row>
    <row r="53" spans="1:39">
      <c r="A53">
        <v>5</v>
      </c>
      <c r="B53" t="s">
        <v>56</v>
      </c>
      <c r="C53" s="6" t="s">
        <v>38</v>
      </c>
      <c r="D53" s="4">
        <v>87.9</v>
      </c>
      <c r="E53" s="4">
        <v>36</v>
      </c>
      <c r="F53" s="4">
        <v>20</v>
      </c>
      <c r="G53" s="4">
        <v>30</v>
      </c>
      <c r="H53" s="4">
        <v>86</v>
      </c>
      <c r="I53" s="5">
        <v>1.1000000000000001</v>
      </c>
      <c r="J53" s="5">
        <v>0</v>
      </c>
      <c r="K53" s="5">
        <v>0.5</v>
      </c>
      <c r="M53" s="6">
        <f>ABS(D53-H53)</f>
        <v>1.9000000000000057</v>
      </c>
      <c r="O53" s="6" t="s">
        <v>39</v>
      </c>
      <c r="P53" s="4">
        <v>979.78</v>
      </c>
      <c r="Q53" s="4">
        <v>3022.56</v>
      </c>
      <c r="R53" s="4">
        <f>Table1[[#This Row],[max]]-Table1[[#This Row],[min]]</f>
        <v>2042.78</v>
      </c>
      <c r="S53" s="4">
        <f>VLOOKUP(Table1[[#This Row],[finger]],fingerMaxMin[],3)-Table1[[#This Row],[max]]</f>
        <v>-2.5599999999999454</v>
      </c>
      <c r="T53" s="7">
        <f>P53/scale</f>
        <v>52.738723221014105</v>
      </c>
      <c r="U53" s="7">
        <f>Q53/scale</f>
        <v>162.6956615351491</v>
      </c>
      <c r="V53" s="28">
        <f>Table1[[#This Row],[scaled max]]-Table1[[#This Row],[scaled min]]</f>
        <v>109.95693831413499</v>
      </c>
      <c r="W53" s="28">
        <f>(VLOOKUP(Table1[[#This Row],[finger]],fingerMaxMin[],3)/scale)-T53</f>
        <v>109.81914091936699</v>
      </c>
      <c r="X53" s="8">
        <f>SIN(RADIANS(T53))</f>
        <v>0.7958828550182383</v>
      </c>
      <c r="Y53" s="8">
        <f>SIN(RADIANS(U53))</f>
        <v>0.29744716818662748</v>
      </c>
      <c r="AA53">
        <f>COS(RADIANS(T53))</f>
        <v>0.60545064298257856</v>
      </c>
      <c r="AB53">
        <f>COS(RADIANS(U53))</f>
        <v>-0.95473827939271194</v>
      </c>
      <c r="AD53" s="1">
        <f>P53/Q53</f>
        <v>0.32415568260017996</v>
      </c>
      <c r="AF53" t="s">
        <v>39</v>
      </c>
      <c r="AG53">
        <v>1500.26</v>
      </c>
      <c r="AH53">
        <v>2350.0100000000002</v>
      </c>
      <c r="AI53" s="6">
        <f>Table1[[#This Row],[Smax]]-Table1[[#This Row],[Smin]]</f>
        <v>849.75000000000023</v>
      </c>
      <c r="AJ53" s="6">
        <f>AVERAGE(Table1[[#This Row],[Smin]:[Smax]])</f>
        <v>1925.1350000000002</v>
      </c>
      <c r="AL53" s="6"/>
      <c r="AM53" s="6"/>
    </row>
    <row r="54" spans="1:39">
      <c r="A54">
        <v>5</v>
      </c>
      <c r="B54" t="s">
        <v>56</v>
      </c>
      <c r="C54" s="6" t="s">
        <v>32</v>
      </c>
      <c r="D54" s="4">
        <v>84.6</v>
      </c>
      <c r="E54" s="4">
        <v>32</v>
      </c>
      <c r="F54" s="4">
        <v>24</v>
      </c>
      <c r="G54" s="4">
        <v>31</v>
      </c>
      <c r="H54" s="4">
        <v>87</v>
      </c>
      <c r="I54" s="5">
        <v>1.1000000000000001</v>
      </c>
      <c r="J54" s="5">
        <v>0</v>
      </c>
      <c r="K54" s="5">
        <v>0.5</v>
      </c>
      <c r="M54" s="6">
        <f>ABS(D54-H54)</f>
        <v>2.4000000000000057</v>
      </c>
      <c r="O54" s="6" t="s">
        <v>33</v>
      </c>
      <c r="P54" s="4">
        <v>1001.27</v>
      </c>
      <c r="Q54" s="4">
        <v>2888.97</v>
      </c>
      <c r="R54" s="4">
        <f>Table1[[#This Row],[max]]-Table1[[#This Row],[min]]</f>
        <v>1887.6999999999998</v>
      </c>
      <c r="S54" s="4">
        <f>VLOOKUP(Table1[[#This Row],[finger]],fingerMaxMin[],3)-Table1[[#This Row],[max]]</f>
        <v>131.0300000000002</v>
      </c>
      <c r="T54" s="7">
        <f>P54/scale</f>
        <v>53.895467757562706</v>
      </c>
      <c r="U54" s="7">
        <f>Q54/scale</f>
        <v>155.50489826676713</v>
      </c>
      <c r="V54" s="28">
        <f>Table1[[#This Row],[scaled max]]-Table1[[#This Row],[scaled min]]</f>
        <v>101.60943050920443</v>
      </c>
      <c r="W54" s="28">
        <f>(VLOOKUP(Table1[[#This Row],[finger]],fingerMaxMin[],3)/scale)-T54</f>
        <v>108.6623963828184</v>
      </c>
      <c r="X54" s="8">
        <f>SIN(RADIANS(T54))</f>
        <v>0.80794327443409408</v>
      </c>
      <c r="Y54" s="8">
        <f>SIN(RADIANS(U54))</f>
        <v>0.41461544774860631</v>
      </c>
      <c r="AA54">
        <f>COS(RADIANS(T54))</f>
        <v>0.58926026957254984</v>
      </c>
      <c r="AB54">
        <f>COS(RADIANS(U54))</f>
        <v>-0.90999672004256293</v>
      </c>
      <c r="AD54" s="1">
        <f>P54/Q54</f>
        <v>0.34658373053371966</v>
      </c>
      <c r="AF54" t="s">
        <v>33</v>
      </c>
      <c r="AG54">
        <v>1713</v>
      </c>
      <c r="AH54">
        <v>2395.81</v>
      </c>
      <c r="AI54" s="6">
        <f>Table1[[#This Row],[Smax]]-Table1[[#This Row],[Smin]]</f>
        <v>682.81</v>
      </c>
      <c r="AJ54" s="6">
        <f>AVERAGE(Table1[[#This Row],[Smin]:[Smax]])</f>
        <v>2054.4049999999997</v>
      </c>
      <c r="AL54" s="6"/>
      <c r="AM54" s="6"/>
    </row>
    <row r="55" spans="1:39">
      <c r="A55">
        <v>5</v>
      </c>
      <c r="B55" t="s">
        <v>56</v>
      </c>
      <c r="C55" s="6" t="s">
        <v>22</v>
      </c>
      <c r="D55" s="15">
        <v>78.3</v>
      </c>
      <c r="E55" s="15">
        <v>34</v>
      </c>
      <c r="F55" s="15">
        <v>25</v>
      </c>
      <c r="G55" s="15">
        <v>29</v>
      </c>
      <c r="H55" s="15">
        <v>88</v>
      </c>
      <c r="I55" s="5">
        <v>1.1000000000000001</v>
      </c>
      <c r="J55" s="5">
        <v>0</v>
      </c>
      <c r="K55" s="5">
        <v>0.5</v>
      </c>
      <c r="M55" s="6">
        <f>ABS(D55-H55)</f>
        <v>9.7000000000000028</v>
      </c>
      <c r="O55" s="6" t="s">
        <v>23</v>
      </c>
      <c r="P55" s="4">
        <v>654.24</v>
      </c>
      <c r="Q55" s="4">
        <v>2735.71</v>
      </c>
      <c r="R55" s="4">
        <f>Table1[[#This Row],[max]]-Table1[[#This Row],[min]]</f>
        <v>2081.4700000000003</v>
      </c>
      <c r="S55" s="4">
        <f>VLOOKUP(Table1[[#This Row],[finger]],fingerMaxMin[],3)-Table1[[#This Row],[max]]</f>
        <v>284.28999999999996</v>
      </c>
      <c r="T55" s="7">
        <f>P55/scale</f>
        <v>35.215846700398323</v>
      </c>
      <c r="U55" s="7">
        <f>Q55/scale</f>
        <v>147.25535579717948</v>
      </c>
      <c r="V55" s="28">
        <f>Table1[[#This Row],[scaled max]]-Table1[[#This Row],[scaled min]]</f>
        <v>112.03950909678116</v>
      </c>
      <c r="W55" s="28">
        <f>(VLOOKUP(Table1[[#This Row],[finger]],fingerMaxMin[],3)/scale)-T55</f>
        <v>127.34201743998278</v>
      </c>
      <c r="X55" s="8">
        <f>SIN(RADIANS(T55))</f>
        <v>0.5766582976840896</v>
      </c>
      <c r="Y55" s="8">
        <f>SIN(RADIANS(U55))</f>
        <v>0.54089585179388344</v>
      </c>
      <c r="AA55">
        <f>COS(RADIANS(T55))</f>
        <v>0.81698543910652888</v>
      </c>
      <c r="AB55">
        <f>COS(RADIANS(U55))</f>
        <v>-0.84108957757908831</v>
      </c>
      <c r="AD55" s="1">
        <f>P55/Q55</f>
        <v>0.23914815532348094</v>
      </c>
      <c r="AF55" t="s">
        <v>23</v>
      </c>
      <c r="AG55">
        <v>1785.36</v>
      </c>
      <c r="AH55">
        <v>2388.9499999999998</v>
      </c>
      <c r="AI55" s="6">
        <f>Table1[[#This Row],[Smax]]-Table1[[#This Row],[Smin]]</f>
        <v>603.58999999999992</v>
      </c>
      <c r="AJ55" s="6">
        <f>AVERAGE(Table1[[#This Row],[Smin]:[Smax]])</f>
        <v>2087.1549999999997</v>
      </c>
      <c r="AL55" s="6"/>
      <c r="AM55" s="6"/>
    </row>
    <row r="56" spans="1:39">
      <c r="A56">
        <v>5</v>
      </c>
      <c r="B56" t="s">
        <v>164</v>
      </c>
      <c r="C56" t="s">
        <v>90</v>
      </c>
      <c r="D56" s="15">
        <v>76.400000000000006</v>
      </c>
      <c r="E56" s="15">
        <v>36</v>
      </c>
      <c r="F56" s="15">
        <v>23</v>
      </c>
      <c r="G56" s="15">
        <v>30</v>
      </c>
      <c r="H56" s="15">
        <v>89</v>
      </c>
      <c r="I56">
        <v>1.1000000000000001</v>
      </c>
      <c r="J56">
        <v>0</v>
      </c>
      <c r="K56">
        <v>0.5</v>
      </c>
      <c r="M56" s="6">
        <f>ABS(D56-H56)</f>
        <v>12.599999999999994</v>
      </c>
      <c r="O56" t="s">
        <v>88</v>
      </c>
      <c r="P56" s="4">
        <v>960</v>
      </c>
      <c r="Q56" s="4">
        <v>2910.66</v>
      </c>
      <c r="R56" s="4">
        <f>Table1[[#This Row],[max]]-Table1[[#This Row],[min]]</f>
        <v>1950.6599999999999</v>
      </c>
      <c r="S56" s="4">
        <f>VLOOKUP(Table1[[#This Row],[finger]],fingerMaxMin[],3)-Table1[[#This Row],[max]]</f>
        <v>109.34000000000015</v>
      </c>
      <c r="T56" s="7">
        <f>P56/scale</f>
        <v>51.674023038001941</v>
      </c>
      <c r="U56" s="7">
        <f>Q56/scale</f>
        <v>156.672408224782</v>
      </c>
      <c r="V56" s="28">
        <f>Table1[[#This Row],[scaled max]]-Table1[[#This Row],[scaled min]]</f>
        <v>104.99838518678007</v>
      </c>
      <c r="W56" s="28">
        <f>(VLOOKUP(Table1[[#This Row],[finger]],fingerMaxMin[],3)/scale)-T56</f>
        <v>110.88384110237917</v>
      </c>
      <c r="X56" s="8">
        <f>SIN(RADIANS(T56))</f>
        <v>0.784495292287817</v>
      </c>
      <c r="Y56" s="8">
        <f>SIN(RADIANS(U56))</f>
        <v>0.39598775044709089</v>
      </c>
      <c r="AA56">
        <f>COS(RADIANS(T56))</f>
        <v>0.62013477275367546</v>
      </c>
      <c r="AB56">
        <f>COS(RADIANS(U56))</f>
        <v>-0.91825579306413985</v>
      </c>
      <c r="AD56" s="1">
        <f>P56/Q56</f>
        <v>0.32982210220362396</v>
      </c>
      <c r="AF56" t="s">
        <v>88</v>
      </c>
      <c r="AG56">
        <v>2047.34</v>
      </c>
      <c r="AH56">
        <v>2386.73</v>
      </c>
      <c r="AI56" s="6">
        <f>Table1[[#This Row],[Smax]]-Table1[[#This Row],[Smin]]</f>
        <v>339.3900000000001</v>
      </c>
      <c r="AJ56" s="6">
        <f>AVERAGE(Table1[[#This Row],[Smin]:[Smax]])</f>
        <v>2217.0349999999999</v>
      </c>
      <c r="AL56" s="6"/>
      <c r="AM56" s="6"/>
    </row>
    <row r="57" spans="1:39">
      <c r="A57">
        <v>5</v>
      </c>
      <c r="B57" t="s">
        <v>56</v>
      </c>
      <c r="C57" s="6" t="s">
        <v>101</v>
      </c>
      <c r="D57" s="4">
        <v>86.8</v>
      </c>
      <c r="E57" s="4">
        <v>36</v>
      </c>
      <c r="F57" s="4">
        <v>21</v>
      </c>
      <c r="G57" s="4">
        <v>32</v>
      </c>
      <c r="H57" s="4">
        <v>89</v>
      </c>
      <c r="I57" s="5">
        <v>1.1000000000000001</v>
      </c>
      <c r="J57" s="5">
        <v>0</v>
      </c>
      <c r="K57" s="5">
        <v>0.5</v>
      </c>
      <c r="L57" s="6"/>
      <c r="M57" s="6">
        <f>ABS(D57-H57)</f>
        <v>2.2000000000000028</v>
      </c>
      <c r="N57" s="6"/>
      <c r="O57" t="s">
        <v>102</v>
      </c>
      <c r="P57">
        <v>890.08</v>
      </c>
      <c r="Q57">
        <v>2835.54</v>
      </c>
      <c r="R57" s="4">
        <f>Table1[[#This Row],[max]]-Table1[[#This Row],[min]]</f>
        <v>1945.46</v>
      </c>
      <c r="S57" s="4">
        <f>VLOOKUP(Table1[[#This Row],[finger]],fingerMaxMin[],3)-Table1[[#This Row],[max]]</f>
        <v>184.46000000000004</v>
      </c>
      <c r="T57" s="7">
        <f>P57/scale</f>
        <v>47.910431693400803</v>
      </c>
      <c r="U57" s="7">
        <f>Q57/scale</f>
        <v>152.62891592205835</v>
      </c>
      <c r="V57" s="28">
        <f>Table1[[#This Row],[scaled max]]-Table1[[#This Row],[scaled min]]</f>
        <v>104.71848422865756</v>
      </c>
      <c r="W57" s="28">
        <f>(VLOOKUP(Table1[[#This Row],[finger]],fingerMaxMin[],3)/scale)-T57</f>
        <v>114.6474324469803</v>
      </c>
      <c r="X57" s="8">
        <f>SIN(RADIANS(T57))</f>
        <v>0.74209789150622807</v>
      </c>
      <c r="Y57" s="8">
        <f>SIN(RADIANS(U57))</f>
        <v>0.45975166526251776</v>
      </c>
      <c r="Z57" s="6"/>
      <c r="AA57" s="6">
        <f>COS(RADIANS(T57))</f>
        <v>0.6702915182381548</v>
      </c>
      <c r="AB57" s="6">
        <f>COS(RADIANS(U57))</f>
        <v>-0.88804752479151805</v>
      </c>
      <c r="AC57" s="6"/>
      <c r="AD57" s="6">
        <f>P57/Q57</f>
        <v>0.31390140855004695</v>
      </c>
      <c r="AF57" t="s">
        <v>102</v>
      </c>
      <c r="AG57">
        <v>1702.39</v>
      </c>
      <c r="AH57">
        <v>2390.98</v>
      </c>
      <c r="AI57" s="6">
        <f>Table1[[#This Row],[Smax]]-Table1[[#This Row],[Smin]]</f>
        <v>688.58999999999992</v>
      </c>
      <c r="AJ57" s="6">
        <f>AVERAGE(Table1[[#This Row],[Smin]:[Smax]])</f>
        <v>2046.6849999999999</v>
      </c>
      <c r="AL57" s="6"/>
      <c r="AM57" s="6"/>
    </row>
    <row r="58" spans="1:39">
      <c r="A58">
        <v>5</v>
      </c>
      <c r="B58" t="s">
        <v>164</v>
      </c>
      <c r="C58" s="6" t="s">
        <v>30</v>
      </c>
      <c r="D58" s="4">
        <v>97.4</v>
      </c>
      <c r="E58" s="4">
        <v>34</v>
      </c>
      <c r="F58" s="4">
        <v>22</v>
      </c>
      <c r="G58" s="4">
        <v>33</v>
      </c>
      <c r="H58" s="4">
        <v>89</v>
      </c>
      <c r="I58" s="5">
        <v>1.1000000000000001</v>
      </c>
      <c r="J58" s="5">
        <v>0</v>
      </c>
      <c r="K58" s="5">
        <v>0.6</v>
      </c>
      <c r="L58" s="6"/>
      <c r="M58" s="6">
        <f>ABS(D58-H58)</f>
        <v>8.4000000000000057</v>
      </c>
      <c r="N58" s="6"/>
      <c r="O58" s="6" t="s">
        <v>31</v>
      </c>
      <c r="P58" s="4">
        <v>825.71</v>
      </c>
      <c r="Q58" s="4">
        <v>2887.84</v>
      </c>
      <c r="R58" s="4">
        <f>Table1[[#This Row],[max]]-Table1[[#This Row],[min]]</f>
        <v>2062.13</v>
      </c>
      <c r="S58" s="4">
        <f>VLOOKUP(Table1[[#This Row],[finger]],fingerMaxMin[],3)-Table1[[#This Row],[max]]</f>
        <v>132.15999999999985</v>
      </c>
      <c r="T58" s="7">
        <f>P58/scale</f>
        <v>44.445580794488109</v>
      </c>
      <c r="U58" s="7">
        <f>Q58/scale</f>
        <v>155.44407363548285</v>
      </c>
      <c r="V58" s="28">
        <f>Table1[[#This Row],[scaled max]]-Table1[[#This Row],[scaled min]]</f>
        <v>110.99849284099474</v>
      </c>
      <c r="W58" s="28">
        <f>(VLOOKUP(Table1[[#This Row],[finger]],fingerMaxMin[],3)/scale)-T58</f>
        <v>118.11228334589299</v>
      </c>
      <c r="X58" s="8">
        <f>SIN(RADIANS(T58))</f>
        <v>0.70023150703337234</v>
      </c>
      <c r="Y58" s="8">
        <f>SIN(RADIANS(U58))</f>
        <v>0.41558125742971752</v>
      </c>
      <c r="Z58" s="6"/>
      <c r="AA58">
        <f>COS(RADIANS(T58))</f>
        <v>0.71391584697201682</v>
      </c>
      <c r="AB58">
        <f>COS(RADIANS(U58))</f>
        <v>-0.90955605570692277</v>
      </c>
      <c r="AC58" s="6"/>
      <c r="AD58" s="6">
        <f>P58/Q58</f>
        <v>0.28592650562358024</v>
      </c>
      <c r="AF58" t="s">
        <v>31</v>
      </c>
      <c r="AG58">
        <v>1640.91</v>
      </c>
      <c r="AH58">
        <v>2363.4299999999998</v>
      </c>
      <c r="AI58" s="6">
        <f>Table1[[#This Row],[Smax]]-Table1[[#This Row],[Smin]]</f>
        <v>722.51999999999975</v>
      </c>
      <c r="AJ58" s="6">
        <f>AVERAGE(Table1[[#This Row],[Smin]:[Smax]])</f>
        <v>2002.17</v>
      </c>
      <c r="AL58" s="6"/>
      <c r="AM58" s="6"/>
    </row>
    <row r="59" spans="1:39">
      <c r="A59">
        <v>5</v>
      </c>
      <c r="B59" t="s">
        <v>164</v>
      </c>
      <c r="C59" s="6" t="s">
        <v>14</v>
      </c>
      <c r="D59" s="15">
        <v>86.4</v>
      </c>
      <c r="E59" s="15">
        <v>35</v>
      </c>
      <c r="F59" s="15">
        <v>29</v>
      </c>
      <c r="G59" s="15">
        <v>27</v>
      </c>
      <c r="H59" s="15">
        <v>91</v>
      </c>
      <c r="I59" s="5">
        <v>1.1000000000000001</v>
      </c>
      <c r="J59" s="5">
        <v>0</v>
      </c>
      <c r="K59" s="5">
        <v>0.6</v>
      </c>
      <c r="L59" s="6"/>
      <c r="M59" s="6">
        <f>ABS(D59-H59)</f>
        <v>4.5999999999999943</v>
      </c>
      <c r="N59" s="6"/>
      <c r="O59" s="6" t="s">
        <v>15</v>
      </c>
      <c r="P59" s="4">
        <v>704.47</v>
      </c>
      <c r="Q59" s="4">
        <v>2793.75</v>
      </c>
      <c r="R59" s="4">
        <f>Table1[[#This Row],[max]]-Table1[[#This Row],[min]]</f>
        <v>2089.2799999999997</v>
      </c>
      <c r="S59" s="4">
        <f>VLOOKUP(Table1[[#This Row],[finger]],fingerMaxMin[],3)-Table1[[#This Row],[max]]</f>
        <v>226.25</v>
      </c>
      <c r="T59" s="7">
        <f>P59/scale</f>
        <v>37.919582301647111</v>
      </c>
      <c r="U59" s="7">
        <f>Q59/scale</f>
        <v>150.37948110668532</v>
      </c>
      <c r="V59" s="28">
        <f>Table1[[#This Row],[scaled max]]-Table1[[#This Row],[scaled min]]</f>
        <v>112.45989880503821</v>
      </c>
      <c r="W59" s="28">
        <f>(VLOOKUP(Table1[[#This Row],[finger]],fingerMaxMin[],3)/scale)-T59</f>
        <v>124.63828183873399</v>
      </c>
      <c r="X59" s="8">
        <f>SIN(RADIANS(T59))</f>
        <v>0.61455485393339482</v>
      </c>
      <c r="Y59" s="8">
        <f>SIN(RADIANS(U59))</f>
        <v>0.49425322038126124</v>
      </c>
      <c r="Z59" s="6"/>
      <c r="AA59">
        <f>COS(RADIANS(T59))</f>
        <v>0.7888740910353842</v>
      </c>
      <c r="AB59">
        <f>COS(RADIANS(U59))</f>
        <v>-0.86931798218071643</v>
      </c>
      <c r="AC59" s="6"/>
      <c r="AD59" s="6">
        <f>P59/Q59</f>
        <v>0.25215928411633109</v>
      </c>
      <c r="AF59" t="s">
        <v>15</v>
      </c>
      <c r="AG59">
        <v>1786.22</v>
      </c>
      <c r="AH59">
        <v>2397.4899999999998</v>
      </c>
      <c r="AI59" s="6">
        <f>Table1[[#This Row],[Smax]]-Table1[[#This Row],[Smin]]</f>
        <v>611.26999999999975</v>
      </c>
      <c r="AJ59" s="6">
        <f>AVERAGE(Table1[[#This Row],[Smin]:[Smax]])</f>
        <v>2091.855</v>
      </c>
      <c r="AL59" s="6"/>
      <c r="AM59" s="6"/>
    </row>
    <row r="60" spans="1:39">
      <c r="A60">
        <v>5</v>
      </c>
      <c r="B60" t="s">
        <v>164</v>
      </c>
      <c r="C60" s="6" t="s">
        <v>26</v>
      </c>
      <c r="D60" s="9">
        <v>90.3</v>
      </c>
      <c r="E60" s="9">
        <v>40</v>
      </c>
      <c r="F60" s="9">
        <v>28</v>
      </c>
      <c r="G60" s="9">
        <v>25</v>
      </c>
      <c r="H60" s="9">
        <v>93</v>
      </c>
      <c r="I60" s="5">
        <v>1.1000000000000001</v>
      </c>
      <c r="J60" s="5">
        <v>0</v>
      </c>
      <c r="K60" s="5">
        <v>0.6</v>
      </c>
      <c r="L60" s="6"/>
      <c r="M60" s="6">
        <f>ABS(D60-H60)</f>
        <v>2.7000000000000028</v>
      </c>
      <c r="N60" s="6"/>
      <c r="O60" s="6" t="s">
        <v>27</v>
      </c>
      <c r="P60" s="4">
        <v>779.67</v>
      </c>
      <c r="Q60" s="4">
        <v>2848.97</v>
      </c>
      <c r="R60" s="4">
        <f>Table1[[#This Row],[max]]-Table1[[#This Row],[min]]</f>
        <v>2069.2999999999997</v>
      </c>
      <c r="S60" s="4">
        <f>VLOOKUP(Table1[[#This Row],[finger]],fingerMaxMin[],3)-Table1[[#This Row],[max]]</f>
        <v>171.0300000000002</v>
      </c>
      <c r="T60" s="7">
        <f>P60/scale</f>
        <v>41.967380772957263</v>
      </c>
      <c r="U60" s="7">
        <f>Q60/scale</f>
        <v>153.35181397351707</v>
      </c>
      <c r="V60" s="28">
        <f>Table1[[#This Row],[scaled max]]-Table1[[#This Row],[scaled min]]</f>
        <v>111.38443320055981</v>
      </c>
      <c r="W60" s="28">
        <f>(VLOOKUP(Table1[[#This Row],[finger]],fingerMaxMin[],3)/scale)-T60</f>
        <v>120.59048336742384</v>
      </c>
      <c r="X60" s="8">
        <f>SIN(RADIANS(T60))</f>
        <v>0.66870741599920136</v>
      </c>
      <c r="Y60" s="8">
        <f>SIN(RADIANS(U60))</f>
        <v>0.44851091742162591</v>
      </c>
      <c r="Z60" s="6"/>
      <c r="AA60">
        <f>COS(RADIANS(T60))</f>
        <v>0.74352564971739277</v>
      </c>
      <c r="AB60">
        <f>COS(RADIANS(U60))</f>
        <v>-0.89377735312191231</v>
      </c>
      <c r="AC60" s="6"/>
      <c r="AD60" s="6">
        <f>P60/Q60</f>
        <v>0.27366732538426169</v>
      </c>
      <c r="AF60" t="s">
        <v>27</v>
      </c>
      <c r="AG60">
        <v>1742.59</v>
      </c>
      <c r="AH60">
        <v>2369.0500000000002</v>
      </c>
      <c r="AI60" s="6">
        <f>Table1[[#This Row],[Smax]]-Table1[[#This Row],[Smin]]</f>
        <v>626.46000000000026</v>
      </c>
      <c r="AJ60" s="6">
        <f>AVERAGE(Table1[[#This Row],[Smin]:[Smax]])</f>
        <v>2055.8200000000002</v>
      </c>
      <c r="AL60" s="6"/>
      <c r="AM60" s="6"/>
    </row>
    <row r="61" spans="1:39">
      <c r="A61">
        <v>5</v>
      </c>
      <c r="B61" t="s">
        <v>164</v>
      </c>
      <c r="C61" s="6" t="s">
        <v>28</v>
      </c>
      <c r="D61" s="9">
        <v>91.8</v>
      </c>
      <c r="E61" s="9">
        <v>36</v>
      </c>
      <c r="F61" s="9">
        <v>28</v>
      </c>
      <c r="G61" s="9">
        <v>29</v>
      </c>
      <c r="H61" s="9">
        <v>93</v>
      </c>
      <c r="I61" s="5">
        <v>1.1000000000000001</v>
      </c>
      <c r="J61" s="5">
        <v>0</v>
      </c>
      <c r="K61" s="5">
        <v>0.6</v>
      </c>
      <c r="L61" s="6"/>
      <c r="M61" s="6">
        <f>ABS(D61-H61)</f>
        <v>1.2000000000000028</v>
      </c>
      <c r="N61" s="6"/>
      <c r="O61" s="6" t="s">
        <v>29</v>
      </c>
      <c r="P61" s="4">
        <v>921.04</v>
      </c>
      <c r="Q61" s="4">
        <v>2847.82</v>
      </c>
      <c r="R61" s="4">
        <f>Table1[[#This Row],[max]]-Table1[[#This Row],[min]]</f>
        <v>1926.7800000000002</v>
      </c>
      <c r="S61" s="4">
        <f>VLOOKUP(Table1[[#This Row],[finger]],fingerMaxMin[],3)-Table1[[#This Row],[max]]</f>
        <v>172.17999999999984</v>
      </c>
      <c r="T61" s="7">
        <f>P61/scale</f>
        <v>49.576918936376359</v>
      </c>
      <c r="U61" s="7">
        <f>Q61/scale</f>
        <v>153.28991280008614</v>
      </c>
      <c r="V61" s="28">
        <f>Table1[[#This Row],[scaled max]]-Table1[[#This Row],[scaled min]]</f>
        <v>103.71299386370978</v>
      </c>
      <c r="W61" s="28">
        <f>(VLOOKUP(Table1[[#This Row],[finger]],fingerMaxMin[],3)/scale)-T61</f>
        <v>112.98094520400474</v>
      </c>
      <c r="X61" s="8">
        <f>SIN(RADIANS(T61))</f>
        <v>0.7612771567716734</v>
      </c>
      <c r="Y61" s="8">
        <f>SIN(RADIANS(U61))</f>
        <v>0.44947627401817747</v>
      </c>
      <c r="Z61" s="6"/>
      <c r="AA61">
        <f>COS(RADIANS(T61))</f>
        <v>0.64842662698075337</v>
      </c>
      <c r="AB61">
        <f>COS(RADIANS(U61))</f>
        <v>-0.89329226969381992</v>
      </c>
      <c r="AC61" s="6"/>
      <c r="AD61" s="6">
        <f>P61/Q61</f>
        <v>0.32341931723212841</v>
      </c>
      <c r="AF61" t="s">
        <v>29</v>
      </c>
      <c r="AG61">
        <v>1747.6</v>
      </c>
      <c r="AH61">
        <v>2398.1999999999998</v>
      </c>
      <c r="AI61" s="6">
        <f>Table1[[#This Row],[Smax]]-Table1[[#This Row],[Smin]]</f>
        <v>650.59999999999991</v>
      </c>
      <c r="AJ61" s="6">
        <f>AVERAGE(Table1[[#This Row],[Smin]:[Smax]])</f>
        <v>2072.8999999999996</v>
      </c>
      <c r="AL61" s="6"/>
      <c r="AM61" s="6"/>
    </row>
    <row r="62" spans="1:39">
      <c r="A62">
        <v>5</v>
      </c>
      <c r="B62" t="s">
        <v>56</v>
      </c>
      <c r="C62" s="6" t="s">
        <v>36</v>
      </c>
      <c r="D62" s="4">
        <v>82</v>
      </c>
      <c r="E62" s="4">
        <v>33</v>
      </c>
      <c r="F62" s="4">
        <v>26</v>
      </c>
      <c r="G62" s="4">
        <v>34</v>
      </c>
      <c r="H62" s="4">
        <v>93</v>
      </c>
      <c r="I62" s="5">
        <v>1.3</v>
      </c>
      <c r="J62" s="5">
        <v>0</v>
      </c>
      <c r="K62" s="5">
        <v>0.5</v>
      </c>
      <c r="L62" s="6"/>
      <c r="M62" s="6">
        <f>ABS(D62-H62)</f>
        <v>11</v>
      </c>
      <c r="N62" s="6"/>
      <c r="O62" s="6" t="s">
        <v>37</v>
      </c>
      <c r="P62" s="4">
        <v>841.25</v>
      </c>
      <c r="Q62" s="4">
        <v>2770.54</v>
      </c>
      <c r="R62" s="4">
        <f>Table1[[#This Row],[max]]-Table1[[#This Row],[min]]</f>
        <v>1929.29</v>
      </c>
      <c r="S62" s="4">
        <f>VLOOKUP(Table1[[#This Row],[finger]],fingerMaxMin[],3)-Table1[[#This Row],[max]]</f>
        <v>249.46000000000004</v>
      </c>
      <c r="T62" s="7">
        <f>P62/scale</f>
        <v>45.282054042415758</v>
      </c>
      <c r="U62" s="7">
        <f>Q62/scale</f>
        <v>149.13015394552696</v>
      </c>
      <c r="V62" s="28">
        <f>Table1[[#This Row],[scaled max]]-Table1[[#This Row],[scaled min]]</f>
        <v>103.8480999031112</v>
      </c>
      <c r="W62" s="28">
        <f>(VLOOKUP(Table1[[#This Row],[finger]],fingerMaxMin[],3)/scale)-T62</f>
        <v>117.27581009796535</v>
      </c>
      <c r="X62" s="8">
        <f>SIN(RADIANS(T62))</f>
        <v>0.71057912450187155</v>
      </c>
      <c r="Y62" s="8">
        <f>SIN(RADIANS(U62))</f>
        <v>0.51308959372844143</v>
      </c>
      <c r="Z62" s="6"/>
      <c r="AA62">
        <f>COS(RADIANS(T62))</f>
        <v>0.70361730210545115</v>
      </c>
      <c r="AB62">
        <f>COS(RADIANS(U62))</f>
        <v>-0.85833505626158768</v>
      </c>
      <c r="AC62" s="6"/>
      <c r="AD62" s="6">
        <f>P62/Q62</f>
        <v>0.30364116742584479</v>
      </c>
      <c r="AF62" t="s">
        <v>37</v>
      </c>
      <c r="AG62">
        <v>1690.67</v>
      </c>
      <c r="AH62">
        <v>2399.25</v>
      </c>
      <c r="AI62" s="6">
        <f>Table1[[#This Row],[Smax]]-Table1[[#This Row],[Smin]]</f>
        <v>708.57999999999993</v>
      </c>
      <c r="AJ62" s="6">
        <f>AVERAGE(Table1[[#This Row],[Smin]:[Smax]])</f>
        <v>2044.96</v>
      </c>
      <c r="AL62" s="6"/>
      <c r="AM62" s="6"/>
    </row>
    <row r="63" spans="1:39">
      <c r="A63">
        <v>5</v>
      </c>
      <c r="B63" t="s">
        <v>164</v>
      </c>
      <c r="C63" s="6" t="s">
        <v>20</v>
      </c>
      <c r="D63" s="16">
        <v>88.6</v>
      </c>
      <c r="E63" s="16">
        <v>40</v>
      </c>
      <c r="F63" s="16">
        <v>27</v>
      </c>
      <c r="G63" s="16">
        <v>28</v>
      </c>
      <c r="H63" s="16">
        <v>95</v>
      </c>
      <c r="I63" s="5">
        <v>1.1000000000000001</v>
      </c>
      <c r="J63" s="5">
        <v>0</v>
      </c>
      <c r="K63" s="5">
        <v>0.5</v>
      </c>
      <c r="L63" s="6"/>
      <c r="M63" s="6">
        <f>ABS(D63-H63)</f>
        <v>6.4000000000000057</v>
      </c>
      <c r="N63" s="6"/>
      <c r="O63" s="6" t="s">
        <v>21</v>
      </c>
      <c r="P63" s="4">
        <v>888.52</v>
      </c>
      <c r="Q63" s="4">
        <v>2884.59</v>
      </c>
      <c r="R63" s="4">
        <f>Table1[[#This Row],[max]]-Table1[[#This Row],[min]]</f>
        <v>1996.0700000000002</v>
      </c>
      <c r="S63" s="4">
        <f>VLOOKUP(Table1[[#This Row],[finger]],fingerMaxMin[],3)-Table1[[#This Row],[max]]</f>
        <v>135.40999999999985</v>
      </c>
      <c r="T63" s="7">
        <f>P63/scale</f>
        <v>47.826461405964046</v>
      </c>
      <c r="U63" s="7">
        <f>Q63/scale</f>
        <v>155.26913553665628</v>
      </c>
      <c r="V63" s="28">
        <f>Table1[[#This Row],[scaled max]]-Table1[[#This Row],[scaled min]]</f>
        <v>107.44267413069224</v>
      </c>
      <c r="W63" s="28">
        <f>(VLOOKUP(Table1[[#This Row],[finger]],fingerMaxMin[],3)/scale)-T63</f>
        <v>114.73140273441706</v>
      </c>
      <c r="X63" s="8">
        <f>SIN(RADIANS(T63))</f>
        <v>0.74111474380683218</v>
      </c>
      <c r="Y63" s="8">
        <f>SIN(RADIANS(U63))</f>
        <v>0.41835641424533904</v>
      </c>
      <c r="Z63" s="6"/>
      <c r="AA63">
        <f>COS(RADIANS(T63))</f>
        <v>0.67137838549668361</v>
      </c>
      <c r="AB63">
        <f>COS(RADIANS(U63))</f>
        <v>-0.90828294636626439</v>
      </c>
      <c r="AC63" s="6"/>
      <c r="AD63" s="6">
        <f>P63/Q63</f>
        <v>0.30802297726886663</v>
      </c>
      <c r="AF63" t="s">
        <v>21</v>
      </c>
      <c r="AG63">
        <v>1869.59</v>
      </c>
      <c r="AH63">
        <v>2401.38</v>
      </c>
      <c r="AI63" s="6">
        <f>Table1[[#This Row],[Smax]]-Table1[[#This Row],[Smin]]</f>
        <v>531.79000000000019</v>
      </c>
      <c r="AJ63" s="6">
        <f>AVERAGE(Table1[[#This Row],[Smin]:[Smax]])</f>
        <v>2135.4850000000001</v>
      </c>
      <c r="AL63" s="6"/>
      <c r="AM63" s="6"/>
    </row>
    <row r="64" spans="1:39">
      <c r="A64">
        <v>5</v>
      </c>
      <c r="B64" t="s">
        <v>164</v>
      </c>
      <c r="C64" s="6" t="s">
        <v>18</v>
      </c>
      <c r="D64" s="16">
        <v>81.099999999999994</v>
      </c>
      <c r="E64" s="16">
        <v>38</v>
      </c>
      <c r="F64" s="16">
        <v>27</v>
      </c>
      <c r="G64" s="16">
        <v>34</v>
      </c>
      <c r="H64" s="16">
        <v>99</v>
      </c>
      <c r="I64" s="5">
        <v>1.1000000000000001</v>
      </c>
      <c r="J64" s="5">
        <v>0</v>
      </c>
      <c r="K64" s="5">
        <v>0.6</v>
      </c>
      <c r="L64" s="6"/>
      <c r="M64" s="6">
        <f>ABS(D64-H64)</f>
        <v>17.900000000000006</v>
      </c>
      <c r="N64" s="6"/>
      <c r="O64" s="6" t="s">
        <v>19</v>
      </c>
      <c r="P64" s="4">
        <v>767.24</v>
      </c>
      <c r="Q64" s="4">
        <v>2879.19</v>
      </c>
      <c r="R64" s="4">
        <f>Table1[[#This Row],[max]]-Table1[[#This Row],[min]]</f>
        <v>2111.9499999999998</v>
      </c>
      <c r="S64" s="4">
        <f>VLOOKUP(Table1[[#This Row],[finger]],fingerMaxMin[],3)-Table1[[#This Row],[max]]</f>
        <v>140.80999999999995</v>
      </c>
      <c r="T64" s="7">
        <f>P64/scale</f>
        <v>41.298309828829801</v>
      </c>
      <c r="U64" s="7">
        <f>Q64/scale</f>
        <v>154.97846915706751</v>
      </c>
      <c r="V64" s="28">
        <f>Table1[[#This Row],[scaled max]]-Table1[[#This Row],[scaled min]]</f>
        <v>113.68015932823771</v>
      </c>
      <c r="W64" s="28">
        <f>(VLOOKUP(Table1[[#This Row],[finger]],fingerMaxMin[],3)/scale)-T64</f>
        <v>121.2595543115513</v>
      </c>
      <c r="X64" s="8">
        <f>SIN(RADIANS(T64))</f>
        <v>0.65997950609415379</v>
      </c>
      <c r="Y64" s="8">
        <f>SIN(RADIANS(U64))</f>
        <v>0.42295880794892776</v>
      </c>
      <c r="Z64" s="6"/>
      <c r="AA64">
        <f>COS(RADIANS(T64))</f>
        <v>0.75128360260005467</v>
      </c>
      <c r="AB64">
        <f>COS(RADIANS(U64))</f>
        <v>-0.90614890982576479</v>
      </c>
      <c r="AC64" s="6"/>
      <c r="AD64" s="6">
        <f>P64/Q64</f>
        <v>0.26647772463783215</v>
      </c>
      <c r="AF64" t="s">
        <v>19</v>
      </c>
      <c r="AG64">
        <v>1794.82</v>
      </c>
      <c r="AH64">
        <v>2367.66</v>
      </c>
      <c r="AI64" s="6">
        <f>Table1[[#This Row],[Smax]]-Table1[[#This Row],[Smin]]</f>
        <v>572.83999999999992</v>
      </c>
      <c r="AJ64" s="6">
        <f>AVERAGE(Table1[[#This Row],[Smin]:[Smax]])</f>
        <v>2081.2399999999998</v>
      </c>
      <c r="AL64" s="6"/>
      <c r="AM64" s="6"/>
    </row>
    <row r="66" spans="15:38">
      <c r="AL66" s="6"/>
    </row>
    <row r="67" spans="15:38">
      <c r="O67" s="6" t="s">
        <v>134</v>
      </c>
      <c r="P67" s="6">
        <f>_xlfn.STDEV.S(Table1[min])</f>
        <v>122.53826271880583</v>
      </c>
      <c r="Q67" s="6">
        <f>_xlfn.STDEV.S(Table1[max])</f>
        <v>97.154773408108809</v>
      </c>
      <c r="R67" s="6">
        <f>_xlfn.STDEV.S(Table1[max-min])</f>
        <v>148.38113156904845</v>
      </c>
      <c r="T67" s="6"/>
      <c r="U67" s="6"/>
      <c r="V67" s="6"/>
      <c r="AF67" s="1" t="s">
        <v>134</v>
      </c>
      <c r="AG67" s="1">
        <f>_xlfn.STDEV.S(Table1[Smin])</f>
        <v>141.13015323931953</v>
      </c>
      <c r="AH67" s="6">
        <f>_xlfn.STDEV.S(Table1[Smax])</f>
        <v>127.59395495482467</v>
      </c>
      <c r="AI67" s="6">
        <f>_xlfn.STDEV.S(Table1[Smax-Smin])</f>
        <v>177.89770100693696</v>
      </c>
      <c r="AJ67" s="6">
        <f>_xlfn.STDEV.S(Table1[Smax Smin avg])</f>
        <v>100.93101971790161</v>
      </c>
    </row>
    <row r="68" spans="15:38">
      <c r="O68" s="6"/>
      <c r="P68" s="6"/>
      <c r="Q68" s="6"/>
    </row>
    <row r="69" spans="15:38">
      <c r="O69" s="6" t="s">
        <v>135</v>
      </c>
      <c r="P69" s="6">
        <f>PEARSON(Table1[min],Table1[aw length])</f>
        <v>-0.13731823358886075</v>
      </c>
      <c r="Q69" s="6">
        <f>PEARSON(Table1[max],Table1[aw length])</f>
        <v>0.5230135077307847</v>
      </c>
      <c r="R69" s="6">
        <f>PEARSON(Table1[max-min],Table1[aw length])</f>
        <v>0.45585308523599311</v>
      </c>
      <c r="AF69" s="1" t="s">
        <v>135</v>
      </c>
      <c r="AG69" s="6">
        <f>PEARSON(Table1[Smin],Table1[aw length])</f>
        <v>0.41725613301167547</v>
      </c>
      <c r="AH69" s="6">
        <f>PEARSON(Table1[Smax],Table1[aw length])</f>
        <v>-0.40369933656511248</v>
      </c>
      <c r="AI69" s="1">
        <f>PEARSON(Table1[Smax-Smin],Table1[aw length])</f>
        <v>-0.6205646072551575</v>
      </c>
      <c r="AJ69" s="6">
        <f>PEARSON(Table1[Smax Smin avg],Table1[aw length])</f>
        <v>3.6548858059805608E-2</v>
      </c>
    </row>
    <row r="70" spans="15:38">
      <c r="O70" s="6"/>
      <c r="P70" s="6"/>
      <c r="Q70" s="6"/>
    </row>
    <row r="71" spans="15:38">
      <c r="O71" s="6" t="s">
        <v>136</v>
      </c>
      <c r="P71" s="8">
        <f>PEARSON($H$2:$H$17,P$2:P$17)</f>
        <v>-0.16243005841974492</v>
      </c>
      <c r="Q71" s="8">
        <f>PEARSON($H$2:$H$17,Q$2:Q$17)</f>
        <v>2.7856589038800356E-2</v>
      </c>
      <c r="R71" s="8">
        <f>PEARSON($H$2:$H$17,R$2:R$17)</f>
        <v>0.17419883220576352</v>
      </c>
      <c r="AF71" s="1" t="s">
        <v>136</v>
      </c>
      <c r="AG71" s="8">
        <f>PEARSON($H$2:$H$17,AG$2:AG$17)</f>
        <v>0.66180896935194611</v>
      </c>
      <c r="AH71" s="8">
        <f>PEARSON($H$2:$H$17,AH$2:AH$17)</f>
        <v>-4.8473382771128011E-2</v>
      </c>
      <c r="AI71" s="8">
        <f>PEARSON($H$2:$H$17,AI$2:AI$17)</f>
        <v>-7.7642464310502729E-2</v>
      </c>
      <c r="AJ71" s="8">
        <f>PEARSON($H$2:$H$17,AJ$2:AJ$17)</f>
        <v>-1.9940216029226441E-2</v>
      </c>
    </row>
    <row r="72" spans="15:38">
      <c r="O72" s="6" t="s">
        <v>137</v>
      </c>
      <c r="P72" s="8">
        <f>PEARSON($H$18:$H$33,P$18:P$33)</f>
        <v>-0.19702263268352482</v>
      </c>
      <c r="Q72" s="8">
        <f>PEARSON($H$18:$H$33,Q$18:Q$33)</f>
        <v>-0.4018394737676913</v>
      </c>
      <c r="R72" s="8">
        <f>PEARSON($H$18:$H$33,R$18:R$33)</f>
        <v>0.14959193566533246</v>
      </c>
      <c r="AF72" s="6" t="s">
        <v>137</v>
      </c>
      <c r="AG72" s="8">
        <f>PEARSON($H$18:$H$33,AG$18:AG$33)</f>
        <v>4.9368251668396292E-2</v>
      </c>
      <c r="AH72" s="8">
        <f>PEARSON($H$18:$H$33,AH$18:AH$33)</f>
        <v>0.44288263413600948</v>
      </c>
      <c r="AI72" s="8">
        <f>PEARSON($H$18:$H$33,AI$18:AI$33)</f>
        <v>0.24267789661338307</v>
      </c>
      <c r="AJ72" s="8">
        <f>PEARSON($H$18:$H$33,AJ$18:AJ$33)</f>
        <v>0.24779172597682603</v>
      </c>
    </row>
    <row r="73" spans="15:38">
      <c r="O73" s="6" t="s">
        <v>138</v>
      </c>
      <c r="P73" s="8">
        <f>PEARSON($H$34:$H$49,P$34:P$49)</f>
        <v>-0.12090766319439562</v>
      </c>
      <c r="Q73" s="8">
        <f>PEARSON($H$34:$H$49,Q$34:Q$49)</f>
        <v>-0.19851985865945607</v>
      </c>
      <c r="R73" s="8">
        <f>PEARSON($H$34:$H$49,R$34:R$49)</f>
        <v>4.7652639526145103E-3</v>
      </c>
      <c r="AF73" s="6" t="s">
        <v>138</v>
      </c>
      <c r="AG73" s="8">
        <f>PEARSON($H$34:$H$49,AG$34:AG$49)</f>
        <v>0.26199687190692372</v>
      </c>
      <c r="AH73" s="8">
        <f>PEARSON($H$34:$H$49,AH$34:AH$49)</f>
        <v>5.7684531573076604E-2</v>
      </c>
      <c r="AI73" s="8">
        <f>PEARSON($H$34:$H$49,AI$34:AI$49)</f>
        <v>-0.25934214180299464</v>
      </c>
      <c r="AJ73" s="8">
        <f>PEARSON($H$34:$H$49,AJ$34:AJ$49)</f>
        <v>0.22731688025241759</v>
      </c>
    </row>
    <row r="74" spans="15:38">
      <c r="O74" s="6" t="s">
        <v>139</v>
      </c>
      <c r="P74" s="8">
        <f>PEARSON($H$50:$H$64,P$50:P$64)</f>
        <v>-0.4347631689331945</v>
      </c>
      <c r="Q74" s="8">
        <f>PEARSON($H$50:$H$64,Q$50:Q$64)</f>
        <v>5.5298213013330967E-2</v>
      </c>
      <c r="R74" s="8">
        <f>PEARSON($H$50:$H$64,R$50:R$64)</f>
        <v>0.47730302080305148</v>
      </c>
      <c r="AF74" s="6" t="s">
        <v>139</v>
      </c>
      <c r="AG74" s="8">
        <f>PEARSON($H$50:$H$64,AG$50:AG$64)</f>
        <v>0.23625616674745634</v>
      </c>
      <c r="AH74" s="8">
        <f>PEARSON($H$50:$H$64,AH$50:AH$64)</f>
        <v>0.46882569499474425</v>
      </c>
      <c r="AI74" s="8">
        <f>PEARSON($H$50:$H$64,AI$50:AI$64)</f>
        <v>-0.1670755454441693</v>
      </c>
      <c r="AJ74" s="8">
        <f>PEARSON($H$50:$H$64,AJ$50:AJ$64)</f>
        <v>0.28766406834600405</v>
      </c>
    </row>
    <row r="75" spans="15:38">
      <c r="O75" s="6"/>
      <c r="P75" s="6"/>
      <c r="Q75"/>
      <c r="AH75" s="35"/>
    </row>
    <row r="76" spans="15:38">
      <c r="O76" s="6" t="s">
        <v>140</v>
      </c>
      <c r="P76" s="36">
        <f>AVEDEV(P$2:P$17)</f>
        <v>73.205937500000005</v>
      </c>
      <c r="Q76" s="36">
        <f t="shared" ref="Q76:R76" si="0">AVEDEV(Q$2:Q$17)</f>
        <v>79.275000000000006</v>
      </c>
      <c r="R76" s="5">
        <f t="shared" si="0"/>
        <v>69.827656250000032</v>
      </c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 t="s">
        <v>140</v>
      </c>
      <c r="AG76" s="37">
        <f>AVEDEV(AG$2:AG$17)</f>
        <v>4.8879687499999989</v>
      </c>
      <c r="AH76" s="38">
        <f t="shared" ref="AH76:AJ76" si="1">AVEDEV(AH$2:AH$17)</f>
        <v>117.91437500000001</v>
      </c>
      <c r="AI76" s="5">
        <f t="shared" si="1"/>
        <v>116.26812500000003</v>
      </c>
      <c r="AJ76" s="5">
        <f t="shared" si="1"/>
        <v>59.78031249999998</v>
      </c>
    </row>
    <row r="77" spans="15:38">
      <c r="O77" s="6"/>
      <c r="P77" s="36">
        <f>AVEDEV(P$18:P$33)</f>
        <v>102.0846875</v>
      </c>
      <c r="Q77" s="36">
        <f t="shared" ref="Q77:R77" si="2">AVEDEV(Q$18:Q$33)</f>
        <v>9.7084375000000023</v>
      </c>
      <c r="R77" s="5">
        <f t="shared" si="2"/>
        <v>105.76640625000005</v>
      </c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39">
        <f>AVEDEV(AG$18:AG$33)</f>
        <v>89.088515625000042</v>
      </c>
      <c r="AH77" s="39">
        <f t="shared" ref="AH77:AJ77" si="3">AVEDEV(AH$18:AH$33)</f>
        <v>53.252187499999934</v>
      </c>
      <c r="AI77" s="5">
        <f t="shared" si="3"/>
        <v>84.652031249999936</v>
      </c>
      <c r="AJ77" s="5">
        <f t="shared" si="3"/>
        <v>63.496562499999982</v>
      </c>
    </row>
    <row r="78" spans="15:38">
      <c r="O78" s="6"/>
      <c r="P78" s="36">
        <f>AVEDEV(P$34:P$49)</f>
        <v>90.374843749999954</v>
      </c>
      <c r="Q78" s="36">
        <f t="shared" ref="Q78:R78" si="4">AVEDEV(Q$34:Q$49)</f>
        <v>68.629999999999797</v>
      </c>
      <c r="R78" s="5">
        <f t="shared" si="4"/>
        <v>133.24625000000006</v>
      </c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39">
        <f>AVEDEV(AG$34:AG$49)</f>
        <v>92.036406250000027</v>
      </c>
      <c r="AH78" s="39">
        <f t="shared" ref="AH78:AJ78" si="5">AVEDEV(AH$34:AH$49)</f>
        <v>31.361406250000016</v>
      </c>
      <c r="AI78" s="5">
        <f t="shared" si="5"/>
        <v>80.093906249999918</v>
      </c>
      <c r="AJ78" s="5">
        <f t="shared" si="5"/>
        <v>52.556835937499983</v>
      </c>
    </row>
    <row r="79" spans="15:38">
      <c r="O79" s="6"/>
      <c r="P79" s="36">
        <f>AVEDEV(P$50:P$64)</f>
        <v>95.620816326530573</v>
      </c>
      <c r="Q79" s="36">
        <f t="shared" ref="Q79:R79" si="6">AVEDEV(Q$50:Q$64)</f>
        <v>56.551836734693815</v>
      </c>
      <c r="R79" s="5">
        <f t="shared" si="6"/>
        <v>91.523571428571401</v>
      </c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38">
        <f>AVEDEV(AG$50:AG$64)</f>
        <v>104.58906666666662</v>
      </c>
      <c r="AH79" s="39">
        <f t="shared" ref="AH79:AJ79" si="7">AVEDEV(AH$50:AH$64)</f>
        <v>20.285955555555542</v>
      </c>
      <c r="AI79" s="5">
        <f t="shared" si="7"/>
        <v>96.924888888888844</v>
      </c>
      <c r="AJ79" s="5">
        <f t="shared" si="7"/>
        <v>56.643200000000022</v>
      </c>
    </row>
    <row r="81" spans="15:18">
      <c r="O81" s="1" t="s">
        <v>165</v>
      </c>
      <c r="P81" s="36">
        <f>AVERAGE(P$2:P$17)</f>
        <v>911.6925</v>
      </c>
      <c r="Q81" s="36">
        <f>AVERAGE(Q$2:Q$17)</f>
        <v>2953.7262499999997</v>
      </c>
      <c r="R81" s="5">
        <f>AVERAGE(R$2:R$17)</f>
        <v>2042.0337499999998</v>
      </c>
    </row>
    <row r="82" spans="15:18">
      <c r="P82" s="36">
        <f>AVERAGE(P$18:P$33)</f>
        <v>838.5162499999999</v>
      </c>
      <c r="Q82" s="36">
        <f>AVERAGE(Q$18:Q$33)</f>
        <v>3005.9043750000001</v>
      </c>
      <c r="R82" s="5">
        <f>AVERAGE(R$18:R$33)</f>
        <v>2167.3881250000004</v>
      </c>
    </row>
    <row r="83" spans="15:18">
      <c r="P83" s="36">
        <f>AVERAGE(P$34:P$49)</f>
        <v>912.03874999999994</v>
      </c>
      <c r="Q83" s="36">
        <f>AVERAGE(Q$34:Q$49)</f>
        <v>3025.2850000000008</v>
      </c>
      <c r="R83" s="5">
        <f>AVERAGE(R$34:R$49)</f>
        <v>2113.2462499999997</v>
      </c>
    </row>
    <row r="84" spans="15:18">
      <c r="P84" s="36">
        <f>AVERAGE(P$50:P$64)</f>
        <v>873.65428571428583</v>
      </c>
      <c r="Q84" s="36">
        <f>AVERAGE(Q$50:Q$64)</f>
        <v>2846.8421428571432</v>
      </c>
      <c r="R84" s="5">
        <f>AVERAGE(R$50:R$64)</f>
        <v>1973.187857142857</v>
      </c>
    </row>
  </sheetData>
  <phoneticPr fontId="4" type="noConversion"/>
  <conditionalFormatting sqref="H2:H64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64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64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6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:AH6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6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6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6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 r:id="rId1"/>
  <headerFooter>
    <oddHeader>&amp;C&amp;"Times New Roman,Regular"&amp;12 &amp;A</oddHeader>
    <oddFooter>&amp;C&amp;"Times New Roman,Regular"&amp;12 Page &amp;P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48ECB-E67C-49F2-AAF3-E85F6732A06A}">
  <dimension ref="A1:AD47"/>
  <sheetViews>
    <sheetView tabSelected="1" zoomScale="85" zoomScaleNormal="85" workbookViewId="0">
      <selection activeCell="A37" sqref="A37"/>
    </sheetView>
  </sheetViews>
  <sheetFormatPr defaultRowHeight="12.75"/>
  <cols>
    <col min="1" max="1" width="11.28515625" customWidth="1"/>
    <col min="2" max="4" width="9.5703125" bestFit="1" customWidth="1"/>
    <col min="5" max="5" width="9.28515625" bestFit="1" customWidth="1"/>
    <col min="6" max="11" width="9.5703125" bestFit="1" customWidth="1"/>
    <col min="12" max="12" width="9.28515625" bestFit="1" customWidth="1"/>
    <col min="13" max="18" width="9.5703125" bestFit="1" customWidth="1"/>
    <col min="19" max="19" width="9.28515625" bestFit="1" customWidth="1"/>
    <col min="20" max="21" width="9.5703125" bestFit="1" customWidth="1"/>
    <col min="22" max="22" width="9.28515625" bestFit="1" customWidth="1"/>
    <col min="23" max="23" width="9.5703125" bestFit="1" customWidth="1"/>
  </cols>
  <sheetData>
    <row r="1" spans="1:23">
      <c r="A1" s="56"/>
      <c r="B1" s="41" t="s">
        <v>167</v>
      </c>
      <c r="C1" s="41"/>
      <c r="D1" s="41"/>
      <c r="E1" s="41"/>
      <c r="F1" s="41"/>
      <c r="G1" s="41"/>
      <c r="H1" s="41"/>
      <c r="I1" s="41"/>
      <c r="J1" s="41"/>
      <c r="K1" s="41"/>
      <c r="L1" s="41" t="s">
        <v>169</v>
      </c>
      <c r="M1" s="41"/>
      <c r="N1" s="41"/>
      <c r="O1" s="41"/>
      <c r="P1" s="41"/>
      <c r="Q1" s="41"/>
      <c r="R1" s="41"/>
      <c r="S1" s="41"/>
      <c r="T1" s="41"/>
      <c r="U1" s="41"/>
      <c r="V1" s="41" t="s">
        <v>170</v>
      </c>
      <c r="W1" s="42"/>
    </row>
    <row r="2" spans="1:23">
      <c r="A2" s="57" t="s">
        <v>10</v>
      </c>
      <c r="B2" s="47">
        <v>2</v>
      </c>
      <c r="C2" s="47">
        <v>2</v>
      </c>
      <c r="D2" s="47">
        <v>3</v>
      </c>
      <c r="E2" s="47">
        <v>3</v>
      </c>
      <c r="F2" s="47">
        <v>4</v>
      </c>
      <c r="G2" s="47">
        <v>4</v>
      </c>
      <c r="H2" s="47">
        <v>5</v>
      </c>
      <c r="I2" s="47">
        <v>5</v>
      </c>
      <c r="J2" s="47" t="s">
        <v>168</v>
      </c>
      <c r="K2" s="47" t="s">
        <v>168</v>
      </c>
      <c r="L2" s="47">
        <v>2</v>
      </c>
      <c r="M2" s="47">
        <v>2</v>
      </c>
      <c r="N2" s="47">
        <v>3</v>
      </c>
      <c r="O2" s="47">
        <v>3</v>
      </c>
      <c r="P2" s="47">
        <v>4</v>
      </c>
      <c r="Q2" s="47">
        <v>4</v>
      </c>
      <c r="R2" s="47">
        <v>5</v>
      </c>
      <c r="S2" s="47">
        <v>5</v>
      </c>
      <c r="T2" s="47" t="s">
        <v>168</v>
      </c>
      <c r="U2" s="47" t="s">
        <v>168</v>
      </c>
      <c r="V2" s="47" t="s">
        <v>168</v>
      </c>
      <c r="W2" s="47" t="s">
        <v>168</v>
      </c>
    </row>
    <row r="3" spans="1:23">
      <c r="A3" s="58" t="s">
        <v>15</v>
      </c>
      <c r="B3" s="26">
        <v>882.42</v>
      </c>
      <c r="C3" s="26">
        <v>2916.81</v>
      </c>
      <c r="D3" s="26">
        <v>697.72</v>
      </c>
      <c r="E3" s="26">
        <v>3011.96</v>
      </c>
      <c r="F3" s="26">
        <v>889.04</v>
      </c>
      <c r="G3" s="26">
        <v>3092.84</v>
      </c>
      <c r="H3" s="26">
        <v>704.47</v>
      </c>
      <c r="I3" s="26">
        <v>2793.75</v>
      </c>
      <c r="J3" s="44">
        <v>835.9</v>
      </c>
      <c r="K3" s="44">
        <v>2714.92</v>
      </c>
      <c r="L3" s="44">
        <v>1893.59</v>
      </c>
      <c r="M3" s="44">
        <v>2241.83</v>
      </c>
      <c r="N3" s="44">
        <v>1973.39</v>
      </c>
      <c r="O3" s="44">
        <v>2145.34</v>
      </c>
      <c r="P3" s="44">
        <v>2117.37</v>
      </c>
      <c r="Q3" s="44">
        <v>2386.52</v>
      </c>
      <c r="R3" s="44">
        <v>1786.22</v>
      </c>
      <c r="S3" s="44">
        <v>2397.4899999999998</v>
      </c>
      <c r="T3" s="44">
        <v>720</v>
      </c>
      <c r="U3" s="44">
        <v>2165.94</v>
      </c>
      <c r="V3" s="44">
        <v>2010</v>
      </c>
      <c r="W3" s="45">
        <v>2260</v>
      </c>
    </row>
    <row r="4" spans="1:23">
      <c r="A4" s="59" t="s">
        <v>87</v>
      </c>
      <c r="B4" s="44">
        <v>804.57</v>
      </c>
      <c r="C4" s="44">
        <v>2843.74</v>
      </c>
      <c r="D4" s="44">
        <v>550.46</v>
      </c>
      <c r="E4" s="44">
        <v>3013.19</v>
      </c>
      <c r="F4" s="44">
        <v>650.91</v>
      </c>
      <c r="G4" s="44">
        <v>3052.2</v>
      </c>
      <c r="H4" s="44"/>
      <c r="I4" s="44"/>
      <c r="J4" s="44">
        <v>740.68</v>
      </c>
      <c r="K4" s="44">
        <v>2685.73</v>
      </c>
      <c r="L4" s="44">
        <v>1887.36</v>
      </c>
      <c r="M4" s="44">
        <v>2172.73</v>
      </c>
      <c r="N4" s="44">
        <v>2021.21</v>
      </c>
      <c r="O4" s="44">
        <v>2172.77</v>
      </c>
      <c r="P4" s="44">
        <v>1840.49</v>
      </c>
      <c r="Q4" s="44">
        <v>2408.4699999999998</v>
      </c>
      <c r="R4" s="44"/>
      <c r="S4" s="44"/>
      <c r="T4" s="44">
        <v>570</v>
      </c>
      <c r="U4" s="44">
        <v>1946.92</v>
      </c>
      <c r="V4" s="44">
        <v>2022</v>
      </c>
      <c r="W4" s="45">
        <v>2270</v>
      </c>
    </row>
    <row r="5" spans="1:23">
      <c r="A5" s="58" t="s">
        <v>17</v>
      </c>
      <c r="B5" s="26">
        <v>802.6</v>
      </c>
      <c r="C5" s="26">
        <v>3077.4</v>
      </c>
      <c r="D5" s="26">
        <v>588.1</v>
      </c>
      <c r="E5" s="26">
        <v>3012.24</v>
      </c>
      <c r="F5" s="26">
        <v>861.94</v>
      </c>
      <c r="G5" s="26">
        <v>3050.04</v>
      </c>
      <c r="H5" s="26">
        <v>901.78</v>
      </c>
      <c r="I5" s="26">
        <v>2778.48</v>
      </c>
      <c r="J5" s="44">
        <v>836.08</v>
      </c>
      <c r="K5" s="44">
        <v>2463.96</v>
      </c>
      <c r="L5" s="44">
        <v>1878.73</v>
      </c>
      <c r="M5" s="44">
        <v>2339.2600000000002</v>
      </c>
      <c r="N5" s="44">
        <v>1970.06</v>
      </c>
      <c r="O5" s="44">
        <v>2099.11</v>
      </c>
      <c r="P5" s="44">
        <v>1785.31</v>
      </c>
      <c r="Q5" s="44">
        <v>2185.85</v>
      </c>
      <c r="R5" s="44">
        <v>1480.79</v>
      </c>
      <c r="S5" s="44">
        <v>2304.48</v>
      </c>
      <c r="T5" s="44">
        <v>490</v>
      </c>
      <c r="U5" s="44">
        <v>2106.29</v>
      </c>
      <c r="V5" s="44">
        <v>1985</v>
      </c>
      <c r="W5" s="45">
        <v>2220</v>
      </c>
    </row>
    <row r="6" spans="1:23">
      <c r="A6" s="58" t="s">
        <v>19</v>
      </c>
      <c r="B6" s="26">
        <v>826.05</v>
      </c>
      <c r="C6" s="26">
        <v>2864.08</v>
      </c>
      <c r="D6" s="26">
        <v>794.89</v>
      </c>
      <c r="E6" s="26">
        <v>3011.65</v>
      </c>
      <c r="F6" s="26">
        <v>874.75</v>
      </c>
      <c r="G6" s="26">
        <v>2886.74</v>
      </c>
      <c r="H6" s="26">
        <v>767.24</v>
      </c>
      <c r="I6" s="26">
        <v>2879.19</v>
      </c>
      <c r="J6" s="44">
        <v>887.65</v>
      </c>
      <c r="K6" s="44">
        <v>2787.15</v>
      </c>
      <c r="L6" s="44">
        <v>1880.4</v>
      </c>
      <c r="M6" s="44">
        <v>2311.2199999999998</v>
      </c>
      <c r="N6" s="44">
        <v>1721.48</v>
      </c>
      <c r="O6" s="44">
        <v>2064.91</v>
      </c>
      <c r="P6" s="44">
        <v>2021.62</v>
      </c>
      <c r="Q6" s="44">
        <v>2367.02</v>
      </c>
      <c r="R6" s="44">
        <v>1794.82</v>
      </c>
      <c r="S6" s="44">
        <v>2367.66</v>
      </c>
      <c r="T6" s="44">
        <v>700</v>
      </c>
      <c r="U6" s="44">
        <v>2088.94</v>
      </c>
      <c r="V6" s="44">
        <v>1980</v>
      </c>
      <c r="W6" s="45">
        <v>2320</v>
      </c>
    </row>
    <row r="7" spans="1:23">
      <c r="A7" s="58" t="s">
        <v>21</v>
      </c>
      <c r="B7" s="26">
        <v>931.97</v>
      </c>
      <c r="C7" s="26">
        <v>3075.1</v>
      </c>
      <c r="D7" s="26">
        <v>815.55</v>
      </c>
      <c r="E7" s="26">
        <v>3009.99</v>
      </c>
      <c r="F7" s="26">
        <v>836.12</v>
      </c>
      <c r="G7" s="26">
        <v>3091.69</v>
      </c>
      <c r="H7" s="26">
        <v>888.52</v>
      </c>
      <c r="I7" s="26">
        <v>2884.59</v>
      </c>
      <c r="J7" s="44">
        <v>990.18</v>
      </c>
      <c r="K7" s="44">
        <v>2840.48</v>
      </c>
      <c r="L7" s="44">
        <v>1889.28</v>
      </c>
      <c r="M7" s="44">
        <v>2307.36</v>
      </c>
      <c r="N7" s="44">
        <v>1860.52</v>
      </c>
      <c r="O7" s="44">
        <v>2336.9499999999998</v>
      </c>
      <c r="P7" s="44">
        <v>2090.17</v>
      </c>
      <c r="Q7" s="44">
        <v>2409.15</v>
      </c>
      <c r="R7" s="44">
        <v>1869.59</v>
      </c>
      <c r="S7" s="44">
        <v>2401.38</v>
      </c>
      <c r="T7" s="44">
        <v>740</v>
      </c>
      <c r="U7" s="44">
        <v>1939.34</v>
      </c>
      <c r="V7" s="44">
        <v>2000</v>
      </c>
      <c r="W7" s="45">
        <v>2390</v>
      </c>
    </row>
    <row r="8" spans="1:23">
      <c r="A8" s="58" t="s">
        <v>23</v>
      </c>
      <c r="B8" s="26">
        <v>805.98</v>
      </c>
      <c r="C8" s="26">
        <v>2834.17</v>
      </c>
      <c r="D8" s="26">
        <v>854.75</v>
      </c>
      <c r="E8" s="26">
        <v>3004.2</v>
      </c>
      <c r="F8" s="26">
        <v>954.88</v>
      </c>
      <c r="G8" s="26">
        <v>2909.09</v>
      </c>
      <c r="H8" s="26">
        <v>654.24</v>
      </c>
      <c r="I8" s="26">
        <v>2735.71</v>
      </c>
      <c r="J8" s="44">
        <v>950.9</v>
      </c>
      <c r="K8" s="44">
        <v>2855.58</v>
      </c>
      <c r="L8" s="44">
        <v>1873</v>
      </c>
      <c r="M8" s="44">
        <v>2066.15</v>
      </c>
      <c r="N8" s="44">
        <v>1616.8</v>
      </c>
      <c r="O8" s="44">
        <v>2075.0700000000002</v>
      </c>
      <c r="P8" s="44">
        <v>1855.34</v>
      </c>
      <c r="Q8" s="44">
        <v>2380.67</v>
      </c>
      <c r="R8" s="44">
        <v>1785.36</v>
      </c>
      <c r="S8" s="44">
        <v>2388.9499999999998</v>
      </c>
      <c r="T8" s="44">
        <v>530</v>
      </c>
      <c r="U8" s="44">
        <v>2243.1999999999998</v>
      </c>
      <c r="V8" s="44">
        <v>1960</v>
      </c>
      <c r="W8" s="45">
        <v>2250</v>
      </c>
    </row>
    <row r="9" spans="1:23">
      <c r="A9" s="59" t="s">
        <v>88</v>
      </c>
      <c r="B9" s="26">
        <v>1057.58</v>
      </c>
      <c r="C9" s="26">
        <v>2977.85</v>
      </c>
      <c r="D9" s="26">
        <v>967.53</v>
      </c>
      <c r="E9" s="26">
        <v>3011.46</v>
      </c>
      <c r="F9" s="26">
        <v>947.15</v>
      </c>
      <c r="G9" s="26">
        <v>3048.64</v>
      </c>
      <c r="H9" s="26">
        <v>960</v>
      </c>
      <c r="I9" s="26">
        <v>2910.66</v>
      </c>
      <c r="J9" s="44">
        <v>1125.56</v>
      </c>
      <c r="K9" s="44">
        <v>2567.4499999999998</v>
      </c>
      <c r="L9" s="44">
        <v>1885.82</v>
      </c>
      <c r="M9" s="44">
        <v>2077.9899999999998</v>
      </c>
      <c r="N9" s="44">
        <v>1804.47</v>
      </c>
      <c r="O9" s="44">
        <v>2143.08</v>
      </c>
      <c r="P9" s="44">
        <v>2088.56</v>
      </c>
      <c r="Q9" s="44">
        <v>2370.3000000000002</v>
      </c>
      <c r="R9" s="44">
        <v>2047.34</v>
      </c>
      <c r="S9" s="44">
        <v>2386.73</v>
      </c>
      <c r="T9" s="44"/>
      <c r="U9" s="44">
        <v>2117.69</v>
      </c>
      <c r="V9" s="44"/>
      <c r="W9" s="45"/>
    </row>
    <row r="10" spans="1:23">
      <c r="A10" s="58" t="s">
        <v>25</v>
      </c>
      <c r="B10" s="26">
        <v>978.29</v>
      </c>
      <c r="C10" s="26">
        <v>2953.11</v>
      </c>
      <c r="D10" s="26">
        <v>767.7</v>
      </c>
      <c r="E10" s="26">
        <v>3005.85</v>
      </c>
      <c r="F10" s="26">
        <v>1114.17</v>
      </c>
      <c r="G10" s="26">
        <v>2933.07</v>
      </c>
      <c r="H10" s="26"/>
      <c r="I10" s="26"/>
      <c r="J10" s="44">
        <v>966.84</v>
      </c>
      <c r="K10" s="44">
        <v>2742.49</v>
      </c>
      <c r="L10" s="44">
        <v>1885.13</v>
      </c>
      <c r="M10" s="44">
        <v>2441.6799999999998</v>
      </c>
      <c r="N10" s="44">
        <v>1946.01</v>
      </c>
      <c r="O10" s="44">
        <v>2122.3200000000002</v>
      </c>
      <c r="P10" s="44">
        <v>2010.77</v>
      </c>
      <c r="Q10" s="44">
        <v>2356.11</v>
      </c>
      <c r="R10" s="44">
        <v>1823.57</v>
      </c>
      <c r="S10" s="44">
        <v>2356.02</v>
      </c>
      <c r="T10" s="44"/>
      <c r="U10" s="44">
        <v>2165.84</v>
      </c>
      <c r="V10" s="44"/>
      <c r="W10" s="45"/>
    </row>
    <row r="11" spans="1:23">
      <c r="A11" s="59" t="s">
        <v>102</v>
      </c>
      <c r="B11" s="44">
        <v>980.08</v>
      </c>
      <c r="C11" s="44">
        <v>3014.25</v>
      </c>
      <c r="D11" s="44">
        <v>853.92</v>
      </c>
      <c r="E11" s="44">
        <v>3013.84</v>
      </c>
      <c r="F11" s="44">
        <v>877.6</v>
      </c>
      <c r="G11" s="44">
        <v>3095.24</v>
      </c>
      <c r="H11" s="44">
        <v>890.08</v>
      </c>
      <c r="I11" s="44">
        <v>2835.54</v>
      </c>
      <c r="J11" s="44">
        <v>886.54</v>
      </c>
      <c r="K11" s="44">
        <v>2716.4</v>
      </c>
      <c r="L11" s="44">
        <v>1877.99</v>
      </c>
      <c r="M11" s="44">
        <v>2047.09</v>
      </c>
      <c r="N11" s="44">
        <v>1718.27</v>
      </c>
      <c r="O11" s="44">
        <v>2074.94</v>
      </c>
      <c r="P11" s="44">
        <v>1960.96</v>
      </c>
      <c r="Q11" s="44">
        <v>2381.1</v>
      </c>
      <c r="R11" s="44">
        <v>1702.39</v>
      </c>
      <c r="S11" s="44">
        <v>2390.98</v>
      </c>
      <c r="T11" s="44">
        <v>800</v>
      </c>
      <c r="U11" s="44">
        <v>2074.5500000000002</v>
      </c>
      <c r="V11" s="44">
        <v>2000</v>
      </c>
      <c r="W11" s="45">
        <v>2120</v>
      </c>
    </row>
    <row r="12" spans="1:23">
      <c r="A12" s="58" t="s">
        <v>27</v>
      </c>
      <c r="B12" s="26">
        <v>805.2</v>
      </c>
      <c r="C12" s="26">
        <v>2887.04</v>
      </c>
      <c r="D12" s="26">
        <v>844.9</v>
      </c>
      <c r="E12" s="26">
        <v>2963.87</v>
      </c>
      <c r="F12" s="26">
        <v>860.19</v>
      </c>
      <c r="G12" s="26">
        <v>2946.51</v>
      </c>
      <c r="H12" s="26">
        <v>779.67</v>
      </c>
      <c r="I12" s="26">
        <v>2848.97</v>
      </c>
      <c r="J12" s="44">
        <v>795.47</v>
      </c>
      <c r="K12" s="44">
        <v>2718.85</v>
      </c>
      <c r="L12" s="44">
        <v>1891.63</v>
      </c>
      <c r="M12" s="44">
        <v>2094.66</v>
      </c>
      <c r="N12" s="44">
        <v>1773.47</v>
      </c>
      <c r="O12" s="44">
        <v>2157.6799999999998</v>
      </c>
      <c r="P12" s="44">
        <v>1960.64</v>
      </c>
      <c r="Q12" s="44">
        <v>2360.61</v>
      </c>
      <c r="R12" s="44">
        <v>1742.59</v>
      </c>
      <c r="S12" s="44">
        <v>2369.0500000000002</v>
      </c>
      <c r="T12" s="44"/>
      <c r="U12" s="44">
        <v>2195.4</v>
      </c>
      <c r="V12" s="44"/>
      <c r="W12" s="45"/>
    </row>
    <row r="13" spans="1:23">
      <c r="A13" s="58" t="s">
        <v>29</v>
      </c>
      <c r="B13" s="26">
        <v>920.98</v>
      </c>
      <c r="C13" s="26">
        <v>2849.22</v>
      </c>
      <c r="D13" s="26">
        <v>907.46</v>
      </c>
      <c r="E13" s="26">
        <v>2972.03</v>
      </c>
      <c r="F13" s="26">
        <v>963.4</v>
      </c>
      <c r="G13" s="26">
        <v>2955.08</v>
      </c>
      <c r="H13" s="26">
        <v>921.04</v>
      </c>
      <c r="I13" s="26">
        <v>2847.82</v>
      </c>
      <c r="J13" s="44">
        <v>937.47</v>
      </c>
      <c r="K13" s="44">
        <v>2866.74</v>
      </c>
      <c r="L13" s="44">
        <v>1888</v>
      </c>
      <c r="M13" s="44">
        <v>2411.73</v>
      </c>
      <c r="N13" s="44">
        <v>1820.54</v>
      </c>
      <c r="O13" s="44">
        <v>2264.9</v>
      </c>
      <c r="P13" s="44">
        <v>2086.61</v>
      </c>
      <c r="Q13" s="44">
        <v>2394</v>
      </c>
      <c r="R13" s="44">
        <v>1747.6</v>
      </c>
      <c r="S13" s="44">
        <v>2398.1999999999998</v>
      </c>
      <c r="T13" s="44">
        <v>670</v>
      </c>
      <c r="U13" s="44">
        <v>2244.0300000000002</v>
      </c>
      <c r="V13" s="44">
        <v>1990</v>
      </c>
      <c r="W13" s="45">
        <v>2160</v>
      </c>
    </row>
    <row r="14" spans="1:23">
      <c r="A14" s="58" t="s">
        <v>31</v>
      </c>
      <c r="B14" s="26">
        <v>869.38</v>
      </c>
      <c r="C14" s="26">
        <v>2847.44</v>
      </c>
      <c r="D14" s="26">
        <v>968.57</v>
      </c>
      <c r="E14" s="26">
        <v>3011.04</v>
      </c>
      <c r="F14" s="26">
        <v>944.04</v>
      </c>
      <c r="G14" s="26">
        <v>2972.18</v>
      </c>
      <c r="H14" s="26">
        <v>825.71</v>
      </c>
      <c r="I14" s="26">
        <v>2887.84</v>
      </c>
      <c r="J14" s="44">
        <v>888.23</v>
      </c>
      <c r="K14" s="44">
        <v>2757.45</v>
      </c>
      <c r="L14" s="44">
        <v>1879.89</v>
      </c>
      <c r="M14" s="44">
        <v>2331.9299999999998</v>
      </c>
      <c r="N14" s="44">
        <v>1866.55</v>
      </c>
      <c r="O14" s="44">
        <v>2179.9</v>
      </c>
      <c r="P14" s="44">
        <v>1979.31</v>
      </c>
      <c r="Q14" s="44">
        <v>2343.9299999999998</v>
      </c>
      <c r="R14" s="44">
        <v>1640.91</v>
      </c>
      <c r="S14" s="44">
        <v>2363.4299999999998</v>
      </c>
      <c r="T14" s="44">
        <v>680</v>
      </c>
      <c r="U14" s="44">
        <v>1951.91</v>
      </c>
      <c r="V14" s="44">
        <v>1960</v>
      </c>
      <c r="W14" s="45">
        <v>2170</v>
      </c>
    </row>
    <row r="15" spans="1:23">
      <c r="A15" s="58" t="s">
        <v>33</v>
      </c>
      <c r="B15" s="26">
        <v>1079.4000000000001</v>
      </c>
      <c r="C15" s="26">
        <v>2966.99</v>
      </c>
      <c r="D15" s="26">
        <v>996.97</v>
      </c>
      <c r="E15" s="26">
        <v>3011.86</v>
      </c>
      <c r="F15" s="26">
        <v>937.84</v>
      </c>
      <c r="G15" s="26">
        <v>3092.77</v>
      </c>
      <c r="H15" s="26">
        <v>1001.27</v>
      </c>
      <c r="I15" s="26">
        <v>2888.97</v>
      </c>
      <c r="J15" s="44">
        <v>884.7</v>
      </c>
      <c r="K15" s="44">
        <v>2708.95</v>
      </c>
      <c r="L15" s="44">
        <v>1884.43</v>
      </c>
      <c r="M15" s="44">
        <v>2150.9</v>
      </c>
      <c r="N15" s="44">
        <v>1756.06</v>
      </c>
      <c r="O15" s="44">
        <v>2175</v>
      </c>
      <c r="P15" s="44">
        <v>2016.97</v>
      </c>
      <c r="Q15" s="44">
        <v>2353.14</v>
      </c>
      <c r="R15" s="44">
        <v>1713</v>
      </c>
      <c r="S15" s="44">
        <v>2395.81</v>
      </c>
      <c r="T15" s="44"/>
      <c r="U15" s="44">
        <v>2106.15</v>
      </c>
      <c r="V15" s="44"/>
      <c r="W15" s="45"/>
    </row>
    <row r="16" spans="1:23">
      <c r="A16" s="58" t="s">
        <v>35</v>
      </c>
      <c r="B16" s="26">
        <v>958.59</v>
      </c>
      <c r="C16" s="26">
        <v>2999.41</v>
      </c>
      <c r="D16" s="26">
        <v>1000.92</v>
      </c>
      <c r="E16" s="26">
        <v>3013.76</v>
      </c>
      <c r="F16" s="26">
        <v>1245.79</v>
      </c>
      <c r="G16" s="26">
        <v>3093.06</v>
      </c>
      <c r="H16" s="26">
        <v>1116.1099999999999</v>
      </c>
      <c r="I16" s="26">
        <v>2771.17</v>
      </c>
      <c r="J16" s="44">
        <v>1019.99</v>
      </c>
      <c r="K16" s="44">
        <v>2379.67</v>
      </c>
      <c r="L16" s="44">
        <v>1877.99</v>
      </c>
      <c r="M16" s="44">
        <v>1969.32</v>
      </c>
      <c r="N16" s="44">
        <v>1708.81</v>
      </c>
      <c r="O16" s="44">
        <v>2071.5300000000002</v>
      </c>
      <c r="P16" s="44">
        <v>1814.1</v>
      </c>
      <c r="Q16" s="44">
        <v>2383.08</v>
      </c>
      <c r="R16" s="44">
        <v>1573.65</v>
      </c>
      <c r="S16" s="44">
        <v>2368.02</v>
      </c>
      <c r="T16" s="44">
        <v>840</v>
      </c>
      <c r="U16" s="44">
        <v>2144.3000000000002</v>
      </c>
      <c r="V16" s="44">
        <v>1960</v>
      </c>
      <c r="W16" s="45">
        <v>2170</v>
      </c>
    </row>
    <row r="17" spans="1:30">
      <c r="A17" s="58" t="s">
        <v>37</v>
      </c>
      <c r="B17" s="26">
        <v>956.52</v>
      </c>
      <c r="C17" s="26">
        <v>3076.38</v>
      </c>
      <c r="D17" s="26">
        <v>869</v>
      </c>
      <c r="E17" s="26">
        <v>3013.75</v>
      </c>
      <c r="F17" s="26">
        <v>764.1</v>
      </c>
      <c r="G17" s="26">
        <v>3092.15</v>
      </c>
      <c r="H17" s="26">
        <v>841.25</v>
      </c>
      <c r="I17" s="26">
        <v>2770.54</v>
      </c>
      <c r="J17" s="44">
        <v>1001.06</v>
      </c>
      <c r="K17" s="44">
        <v>2908.32</v>
      </c>
      <c r="L17" s="44">
        <v>1892.44</v>
      </c>
      <c r="M17" s="44">
        <v>2275.89</v>
      </c>
      <c r="N17" s="44">
        <v>1810.33</v>
      </c>
      <c r="O17" s="44">
        <v>2131.44</v>
      </c>
      <c r="P17" s="44">
        <v>2127.7199999999998</v>
      </c>
      <c r="Q17" s="44">
        <v>2411.0500000000002</v>
      </c>
      <c r="R17" s="44">
        <v>1690.67</v>
      </c>
      <c r="S17" s="44">
        <v>2399.25</v>
      </c>
      <c r="T17" s="44">
        <v>700</v>
      </c>
      <c r="U17" s="44">
        <v>2159.92</v>
      </c>
      <c r="V17" s="44">
        <v>1985</v>
      </c>
      <c r="W17" s="45">
        <v>2250</v>
      </c>
    </row>
    <row r="18" spans="1:30">
      <c r="A18" s="60" t="s">
        <v>39</v>
      </c>
      <c r="B18" s="46">
        <v>927.47</v>
      </c>
      <c r="C18" s="46">
        <v>3076.63</v>
      </c>
      <c r="D18" s="46">
        <v>937.82</v>
      </c>
      <c r="E18" s="46">
        <v>3013.78</v>
      </c>
      <c r="F18" s="46">
        <v>870.7</v>
      </c>
      <c r="G18" s="46">
        <v>3093.26</v>
      </c>
      <c r="H18" s="46">
        <v>979.78</v>
      </c>
      <c r="I18" s="46">
        <v>3022.56</v>
      </c>
      <c r="J18" s="47">
        <v>924.17</v>
      </c>
      <c r="K18" s="47">
        <v>2888.67</v>
      </c>
      <c r="L18" s="47">
        <v>1882.9</v>
      </c>
      <c r="M18" s="47">
        <v>2195.4299999999998</v>
      </c>
      <c r="N18" s="47">
        <v>1863.92</v>
      </c>
      <c r="O18" s="47">
        <v>2191.7399999999998</v>
      </c>
      <c r="P18" s="47">
        <v>2089.64</v>
      </c>
      <c r="Q18" s="47">
        <v>2333.75</v>
      </c>
      <c r="R18" s="47">
        <v>1500.26</v>
      </c>
      <c r="S18" s="47">
        <v>2350.0100000000002</v>
      </c>
      <c r="T18" s="47">
        <v>790</v>
      </c>
      <c r="U18" s="47">
        <v>1981.13</v>
      </c>
      <c r="V18" s="47">
        <v>1960</v>
      </c>
      <c r="W18" s="48">
        <v>2100</v>
      </c>
    </row>
    <row r="19" spans="1:30">
      <c r="B19" s="40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2"/>
    </row>
    <row r="20" spans="1:30">
      <c r="B20" s="43">
        <f>MEDIAN(B3:B18)</f>
        <v>924.22500000000002</v>
      </c>
      <c r="C20" s="44">
        <f t="shared" ref="C20:W20" si="0">MEDIAN(C3:C18)</f>
        <v>2960.05</v>
      </c>
      <c r="D20" s="44">
        <f t="shared" si="0"/>
        <v>854.33500000000004</v>
      </c>
      <c r="E20" s="44">
        <f t="shared" si="0"/>
        <v>3011.7550000000001</v>
      </c>
      <c r="F20" s="44">
        <f t="shared" si="0"/>
        <v>883.31999999999994</v>
      </c>
      <c r="G20" s="44">
        <f t="shared" si="0"/>
        <v>3051.12</v>
      </c>
      <c r="H20" s="44">
        <f t="shared" si="0"/>
        <v>889.3</v>
      </c>
      <c r="I20" s="44">
        <f t="shared" si="0"/>
        <v>2848.395</v>
      </c>
      <c r="J20" s="44">
        <f t="shared" si="0"/>
        <v>906.2</v>
      </c>
      <c r="K20" s="44">
        <f t="shared" si="0"/>
        <v>2730.67</v>
      </c>
      <c r="L20" s="44">
        <f t="shared" si="0"/>
        <v>1884.7800000000002</v>
      </c>
      <c r="M20" s="44">
        <f t="shared" si="0"/>
        <v>2218.63</v>
      </c>
      <c r="N20" s="44">
        <f t="shared" si="0"/>
        <v>1815.4349999999999</v>
      </c>
      <c r="O20" s="44">
        <f t="shared" si="0"/>
        <v>2144.21</v>
      </c>
      <c r="P20" s="44">
        <f t="shared" si="0"/>
        <v>2013.87</v>
      </c>
      <c r="Q20" s="44">
        <f t="shared" si="0"/>
        <v>2375.4850000000001</v>
      </c>
      <c r="R20" s="44">
        <f t="shared" si="0"/>
        <v>1742.59</v>
      </c>
      <c r="S20" s="44">
        <f t="shared" si="0"/>
        <v>2386.73</v>
      </c>
      <c r="T20" s="44">
        <f t="shared" si="0"/>
        <v>700</v>
      </c>
      <c r="U20" s="44">
        <f t="shared" si="0"/>
        <v>2111.9899999999998</v>
      </c>
      <c r="V20" s="44">
        <f t="shared" si="0"/>
        <v>1985</v>
      </c>
      <c r="W20" s="45">
        <f t="shared" si="0"/>
        <v>2235</v>
      </c>
    </row>
    <row r="21" spans="1:30">
      <c r="A21" s="56" t="s">
        <v>171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 t="s">
        <v>174</v>
      </c>
      <c r="AB21" s="41"/>
      <c r="AC21" s="41"/>
      <c r="AD21" s="42"/>
    </row>
    <row r="22" spans="1:30">
      <c r="A22" s="5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 t="s">
        <v>172</v>
      </c>
      <c r="Z22" s="47" t="s">
        <v>173</v>
      </c>
      <c r="AA22" s="47" t="s">
        <v>172</v>
      </c>
      <c r="AB22" s="47" t="s">
        <v>173</v>
      </c>
      <c r="AC22" s="47"/>
      <c r="AD22" s="48" t="s">
        <v>175</v>
      </c>
    </row>
    <row r="23" spans="1:30">
      <c r="A23" s="58" t="s">
        <v>15</v>
      </c>
      <c r="B23" s="49">
        <f>IF(B3="","",ABS(B3-B$20))</f>
        <v>41.805000000000064</v>
      </c>
      <c r="C23" s="49">
        <f t="shared" ref="C23:V23" si="1">IF(C3="","",ABS(C3-C$20))</f>
        <v>43.240000000000236</v>
      </c>
      <c r="D23" s="49">
        <f t="shared" si="1"/>
        <v>156.61500000000001</v>
      </c>
      <c r="E23" s="49">
        <f t="shared" si="1"/>
        <v>0.20499999999992724</v>
      </c>
      <c r="F23" s="49">
        <f t="shared" si="1"/>
        <v>5.7200000000000273</v>
      </c>
      <c r="G23" s="49">
        <f t="shared" si="1"/>
        <v>41.720000000000255</v>
      </c>
      <c r="H23" s="49">
        <f t="shared" si="1"/>
        <v>184.82999999999993</v>
      </c>
      <c r="I23" s="49">
        <f t="shared" si="1"/>
        <v>54.644999999999982</v>
      </c>
      <c r="J23" s="49">
        <f t="shared" si="1"/>
        <v>70.300000000000068</v>
      </c>
      <c r="K23" s="49">
        <f t="shared" si="1"/>
        <v>15.75</v>
      </c>
      <c r="L23" s="49">
        <f t="shared" si="1"/>
        <v>8.8099999999997181</v>
      </c>
      <c r="M23" s="49">
        <f t="shared" si="1"/>
        <v>23.199999999999818</v>
      </c>
      <c r="N23" s="49">
        <f t="shared" si="1"/>
        <v>157.95500000000015</v>
      </c>
      <c r="O23" s="49">
        <f t="shared" si="1"/>
        <v>1.1300000000001091</v>
      </c>
      <c r="P23" s="49">
        <f t="shared" si="1"/>
        <v>103.5</v>
      </c>
      <c r="Q23" s="49">
        <f t="shared" si="1"/>
        <v>11.034999999999854</v>
      </c>
      <c r="R23" s="49">
        <f t="shared" si="1"/>
        <v>43.630000000000109</v>
      </c>
      <c r="S23" s="49">
        <f t="shared" si="1"/>
        <v>10.759999999999764</v>
      </c>
      <c r="T23" s="49">
        <f t="shared" si="1"/>
        <v>20</v>
      </c>
      <c r="U23" s="49">
        <f t="shared" si="1"/>
        <v>53.950000000000273</v>
      </c>
      <c r="V23" s="49">
        <f t="shared" si="1"/>
        <v>25</v>
      </c>
      <c r="W23" s="49">
        <f>IF(W3="","",ABS(W3-W$20))</f>
        <v>25</v>
      </c>
      <c r="X23" s="44"/>
      <c r="Y23" s="49">
        <f t="shared" ref="Y23:Y38" si="2">AVERAGE(B23:W23)</f>
        <v>49.945454545454552</v>
      </c>
      <c r="Z23" s="49">
        <f>MEDIAN(B23:W23)</f>
        <v>33.360000000000127</v>
      </c>
      <c r="AA23" s="49">
        <f>AVERAGE(B23:K23)</f>
        <v>61.483000000000047</v>
      </c>
      <c r="AB23" s="49">
        <f>MEDIAN(B23:K23)</f>
        <v>42.52250000000015</v>
      </c>
      <c r="AC23" s="44"/>
      <c r="AD23" s="50">
        <v>91</v>
      </c>
    </row>
    <row r="24" spans="1:30">
      <c r="A24" s="59" t="s">
        <v>87</v>
      </c>
      <c r="B24" s="49">
        <f>IF(B4="","",ABS(B4-B$20))</f>
        <v>119.65499999999997</v>
      </c>
      <c r="C24" s="49">
        <f t="shared" ref="C24:V37" si="3">IF(C4="","",ABS(C4-C$20))</f>
        <v>116.3100000000004</v>
      </c>
      <c r="D24" s="49">
        <f t="shared" si="3"/>
        <v>303.875</v>
      </c>
      <c r="E24" s="49">
        <f t="shared" si="3"/>
        <v>1.4349999999999454</v>
      </c>
      <c r="F24" s="49">
        <f t="shared" si="3"/>
        <v>232.40999999999997</v>
      </c>
      <c r="G24" s="49">
        <f t="shared" si="3"/>
        <v>1.0799999999999272</v>
      </c>
      <c r="H24" s="49" t="str">
        <f t="shared" si="3"/>
        <v/>
      </c>
      <c r="I24" s="49" t="str">
        <f t="shared" si="3"/>
        <v/>
      </c>
      <c r="J24" s="49">
        <f t="shared" si="3"/>
        <v>165.5200000000001</v>
      </c>
      <c r="K24" s="49">
        <f t="shared" si="3"/>
        <v>44.940000000000055</v>
      </c>
      <c r="L24" s="49">
        <f t="shared" si="3"/>
        <v>2.5799999999996999</v>
      </c>
      <c r="M24" s="49">
        <f t="shared" si="3"/>
        <v>45.900000000000091</v>
      </c>
      <c r="N24" s="49">
        <f t="shared" si="3"/>
        <v>205.77500000000009</v>
      </c>
      <c r="O24" s="49">
        <f t="shared" si="3"/>
        <v>28.559999999999945</v>
      </c>
      <c r="P24" s="49">
        <f t="shared" si="3"/>
        <v>173.37999999999988</v>
      </c>
      <c r="Q24" s="49">
        <f t="shared" si="3"/>
        <v>32.984999999999673</v>
      </c>
      <c r="R24" s="49" t="str">
        <f t="shared" si="3"/>
        <v/>
      </c>
      <c r="S24" s="49" t="str">
        <f t="shared" si="3"/>
        <v/>
      </c>
      <c r="T24" s="49">
        <f t="shared" si="3"/>
        <v>130</v>
      </c>
      <c r="U24" s="49">
        <f t="shared" si="3"/>
        <v>165.06999999999971</v>
      </c>
      <c r="V24" s="49">
        <f t="shared" si="3"/>
        <v>37</v>
      </c>
      <c r="W24" s="49">
        <f>IF(W4="","",ABS(W4-W$20))</f>
        <v>35</v>
      </c>
      <c r="X24" s="44"/>
      <c r="Y24" s="49">
        <f t="shared" si="2"/>
        <v>102.30416666666663</v>
      </c>
      <c r="Z24" s="49">
        <f t="shared" ref="Z24:Z38" si="4">MEDIAN(B24:W24)</f>
        <v>81.105000000000246</v>
      </c>
      <c r="AA24" s="49">
        <f t="shared" ref="AA24:AA38" si="5">AVERAGE(B24:K24)</f>
        <v>123.15312500000005</v>
      </c>
      <c r="AB24" s="49">
        <f t="shared" ref="AB24:AB38" si="6">MEDIAN(B24:K24)</f>
        <v>117.98250000000019</v>
      </c>
      <c r="AC24" s="44"/>
      <c r="AD24" s="45">
        <v>75</v>
      </c>
    </row>
    <row r="25" spans="1:30">
      <c r="A25" s="58" t="s">
        <v>17</v>
      </c>
      <c r="B25" s="49">
        <f t="shared" ref="B25:Q38" si="7">IF(B5="","",ABS(B5-B$20))</f>
        <v>121.625</v>
      </c>
      <c r="C25" s="49">
        <f t="shared" si="7"/>
        <v>117.34999999999991</v>
      </c>
      <c r="D25" s="49">
        <f t="shared" si="7"/>
        <v>266.23500000000001</v>
      </c>
      <c r="E25" s="49">
        <f t="shared" si="7"/>
        <v>0.48499999999967258</v>
      </c>
      <c r="F25" s="49">
        <f t="shared" si="7"/>
        <v>21.379999999999882</v>
      </c>
      <c r="G25" s="49">
        <f t="shared" si="7"/>
        <v>1.0799999999999272</v>
      </c>
      <c r="H25" s="49">
        <f t="shared" si="7"/>
        <v>12.480000000000018</v>
      </c>
      <c r="I25" s="49">
        <f t="shared" si="7"/>
        <v>69.914999999999964</v>
      </c>
      <c r="J25" s="49">
        <f t="shared" si="7"/>
        <v>70.12</v>
      </c>
      <c r="K25" s="49">
        <f t="shared" si="7"/>
        <v>266.71000000000004</v>
      </c>
      <c r="L25" s="49">
        <f t="shared" si="7"/>
        <v>6.0500000000001819</v>
      </c>
      <c r="M25" s="49">
        <f t="shared" si="7"/>
        <v>120.63000000000011</v>
      </c>
      <c r="N25" s="49">
        <f t="shared" si="7"/>
        <v>154.625</v>
      </c>
      <c r="O25" s="49">
        <f t="shared" si="7"/>
        <v>45.099999999999909</v>
      </c>
      <c r="P25" s="49">
        <f t="shared" si="7"/>
        <v>228.55999999999995</v>
      </c>
      <c r="Q25" s="49">
        <f t="shared" si="7"/>
        <v>189.63500000000022</v>
      </c>
      <c r="R25" s="49">
        <f t="shared" si="3"/>
        <v>261.79999999999995</v>
      </c>
      <c r="S25" s="49">
        <f t="shared" si="3"/>
        <v>82.25</v>
      </c>
      <c r="T25" s="49">
        <f t="shared" si="3"/>
        <v>210</v>
      </c>
      <c r="U25" s="49">
        <f t="shared" si="3"/>
        <v>5.6999999999998181</v>
      </c>
      <c r="V25" s="49">
        <f t="shared" si="3"/>
        <v>0</v>
      </c>
      <c r="W25" s="49">
        <f t="shared" ref="W25" si="8">IF(W5="","",ABS(W5-W$20))</f>
        <v>15</v>
      </c>
      <c r="X25" s="44"/>
      <c r="Y25" s="49">
        <f t="shared" si="2"/>
        <v>103.0331818181818</v>
      </c>
      <c r="Z25" s="49">
        <f t="shared" si="4"/>
        <v>76.185000000000002</v>
      </c>
      <c r="AA25" s="49">
        <f t="shared" si="5"/>
        <v>94.737999999999943</v>
      </c>
      <c r="AB25" s="49">
        <f t="shared" si="6"/>
        <v>70.017499999999984</v>
      </c>
      <c r="AC25" s="44"/>
      <c r="AD25" s="51">
        <v>84</v>
      </c>
    </row>
    <row r="26" spans="1:30">
      <c r="A26" s="58" t="s">
        <v>19</v>
      </c>
      <c r="B26" s="49">
        <f t="shared" si="7"/>
        <v>98.175000000000068</v>
      </c>
      <c r="C26" s="49">
        <f t="shared" si="3"/>
        <v>95.970000000000255</v>
      </c>
      <c r="D26" s="49">
        <f t="shared" si="3"/>
        <v>59.44500000000005</v>
      </c>
      <c r="E26" s="49">
        <f t="shared" si="3"/>
        <v>0.10500000000001819</v>
      </c>
      <c r="F26" s="49">
        <f t="shared" si="3"/>
        <v>8.5699999999999363</v>
      </c>
      <c r="G26" s="49">
        <f t="shared" si="3"/>
        <v>164.38000000000011</v>
      </c>
      <c r="H26" s="49">
        <f t="shared" si="3"/>
        <v>122.05999999999995</v>
      </c>
      <c r="I26" s="49">
        <f t="shared" si="3"/>
        <v>30.795000000000073</v>
      </c>
      <c r="J26" s="49">
        <f t="shared" si="3"/>
        <v>18.550000000000068</v>
      </c>
      <c r="K26" s="49">
        <f t="shared" si="3"/>
        <v>56.480000000000018</v>
      </c>
      <c r="L26" s="49">
        <f t="shared" si="3"/>
        <v>4.3800000000001091</v>
      </c>
      <c r="M26" s="49">
        <f t="shared" si="3"/>
        <v>92.589999999999691</v>
      </c>
      <c r="N26" s="49">
        <f t="shared" si="3"/>
        <v>93.954999999999927</v>
      </c>
      <c r="O26" s="49">
        <f t="shared" si="3"/>
        <v>79.300000000000182</v>
      </c>
      <c r="P26" s="49">
        <f t="shared" si="3"/>
        <v>7.75</v>
      </c>
      <c r="Q26" s="49">
        <f t="shared" si="3"/>
        <v>8.4650000000001455</v>
      </c>
      <c r="R26" s="49">
        <f t="shared" si="3"/>
        <v>52.230000000000018</v>
      </c>
      <c r="S26" s="49">
        <f t="shared" si="3"/>
        <v>19.070000000000164</v>
      </c>
      <c r="T26" s="49">
        <f t="shared" si="3"/>
        <v>0</v>
      </c>
      <c r="U26" s="49">
        <f t="shared" si="3"/>
        <v>23.049999999999727</v>
      </c>
      <c r="V26" s="49">
        <f t="shared" si="3"/>
        <v>5</v>
      </c>
      <c r="W26" s="49">
        <f t="shared" ref="W26" si="9">IF(W6="","",ABS(W6-W$20))</f>
        <v>85</v>
      </c>
      <c r="X26" s="44"/>
      <c r="Y26" s="49">
        <f t="shared" si="2"/>
        <v>51.150909090909117</v>
      </c>
      <c r="Z26" s="49">
        <f t="shared" si="4"/>
        <v>41.512500000000045</v>
      </c>
      <c r="AA26" s="49">
        <f t="shared" si="5"/>
        <v>65.45300000000006</v>
      </c>
      <c r="AB26" s="49">
        <f t="shared" si="6"/>
        <v>57.962500000000034</v>
      </c>
      <c r="AC26" s="44"/>
      <c r="AD26" s="51">
        <v>99</v>
      </c>
    </row>
    <row r="27" spans="1:30">
      <c r="A27" s="58" t="s">
        <v>21</v>
      </c>
      <c r="B27" s="49">
        <f t="shared" si="7"/>
        <v>7.7450000000000045</v>
      </c>
      <c r="C27" s="49">
        <f t="shared" si="3"/>
        <v>115.04999999999973</v>
      </c>
      <c r="D27" s="49">
        <f t="shared" si="3"/>
        <v>38.785000000000082</v>
      </c>
      <c r="E27" s="49">
        <f t="shared" si="3"/>
        <v>1.7650000000003274</v>
      </c>
      <c r="F27" s="49">
        <f t="shared" si="3"/>
        <v>47.199999999999932</v>
      </c>
      <c r="G27" s="49">
        <f t="shared" si="3"/>
        <v>40.570000000000164</v>
      </c>
      <c r="H27" s="49">
        <f t="shared" si="3"/>
        <v>0.77999999999997272</v>
      </c>
      <c r="I27" s="49">
        <f t="shared" si="3"/>
        <v>36.195000000000164</v>
      </c>
      <c r="J27" s="49">
        <f t="shared" si="3"/>
        <v>83.979999999999905</v>
      </c>
      <c r="K27" s="49">
        <f t="shared" si="3"/>
        <v>109.80999999999995</v>
      </c>
      <c r="L27" s="49">
        <f t="shared" si="3"/>
        <v>4.4999999999997726</v>
      </c>
      <c r="M27" s="49">
        <f t="shared" si="3"/>
        <v>88.730000000000018</v>
      </c>
      <c r="N27" s="49">
        <f t="shared" si="3"/>
        <v>45.085000000000036</v>
      </c>
      <c r="O27" s="49">
        <f t="shared" si="3"/>
        <v>192.73999999999978</v>
      </c>
      <c r="P27" s="49">
        <f t="shared" si="3"/>
        <v>76.300000000000182</v>
      </c>
      <c r="Q27" s="49">
        <f t="shared" si="3"/>
        <v>33.664999999999964</v>
      </c>
      <c r="R27" s="49">
        <f t="shared" si="3"/>
        <v>127</v>
      </c>
      <c r="S27" s="49">
        <f t="shared" si="3"/>
        <v>14.650000000000091</v>
      </c>
      <c r="T27" s="49">
        <f t="shared" si="3"/>
        <v>40</v>
      </c>
      <c r="U27" s="49">
        <f t="shared" si="3"/>
        <v>172.64999999999986</v>
      </c>
      <c r="V27" s="49">
        <f t="shared" si="3"/>
        <v>15</v>
      </c>
      <c r="W27" s="49">
        <f t="shared" ref="W27" si="10">IF(W7="","",ABS(W7-W$20))</f>
        <v>155</v>
      </c>
      <c r="X27" s="44"/>
      <c r="Y27" s="49">
        <f t="shared" si="2"/>
        <v>65.781818181818181</v>
      </c>
      <c r="Z27" s="49">
        <f t="shared" si="4"/>
        <v>42.8275000000001</v>
      </c>
      <c r="AA27" s="49">
        <f t="shared" si="5"/>
        <v>48.188000000000024</v>
      </c>
      <c r="AB27" s="49">
        <f t="shared" si="6"/>
        <v>39.677500000000123</v>
      </c>
      <c r="AC27" s="44"/>
      <c r="AD27" s="51">
        <v>95</v>
      </c>
    </row>
    <row r="28" spans="1:30">
      <c r="A28" s="58" t="s">
        <v>23</v>
      </c>
      <c r="B28" s="49">
        <f t="shared" si="7"/>
        <v>118.245</v>
      </c>
      <c r="C28" s="49">
        <f t="shared" si="3"/>
        <v>125.88000000000011</v>
      </c>
      <c r="D28" s="49">
        <f t="shared" si="3"/>
        <v>0.41499999999996362</v>
      </c>
      <c r="E28" s="49">
        <f t="shared" si="3"/>
        <v>7.555000000000291</v>
      </c>
      <c r="F28" s="49">
        <f t="shared" si="3"/>
        <v>71.560000000000059</v>
      </c>
      <c r="G28" s="49">
        <f t="shared" si="3"/>
        <v>142.02999999999975</v>
      </c>
      <c r="H28" s="49">
        <f t="shared" si="3"/>
        <v>235.05999999999995</v>
      </c>
      <c r="I28" s="49">
        <f t="shared" si="3"/>
        <v>112.68499999999995</v>
      </c>
      <c r="J28" s="49">
        <f t="shared" si="3"/>
        <v>44.699999999999932</v>
      </c>
      <c r="K28" s="49">
        <f t="shared" si="3"/>
        <v>124.90999999999985</v>
      </c>
      <c r="L28" s="49">
        <f t="shared" si="3"/>
        <v>11.7800000000002</v>
      </c>
      <c r="M28" s="49">
        <f t="shared" si="3"/>
        <v>152.48000000000002</v>
      </c>
      <c r="N28" s="49">
        <f t="shared" si="3"/>
        <v>198.63499999999999</v>
      </c>
      <c r="O28" s="49">
        <f t="shared" si="3"/>
        <v>69.139999999999873</v>
      </c>
      <c r="P28" s="49">
        <f t="shared" si="3"/>
        <v>158.52999999999997</v>
      </c>
      <c r="Q28" s="49">
        <f t="shared" si="3"/>
        <v>5.1849999999999454</v>
      </c>
      <c r="R28" s="49">
        <f t="shared" si="3"/>
        <v>42.769999999999982</v>
      </c>
      <c r="S28" s="49">
        <f t="shared" si="3"/>
        <v>2.2199999999997999</v>
      </c>
      <c r="T28" s="49">
        <f t="shared" si="3"/>
        <v>170</v>
      </c>
      <c r="U28" s="49">
        <f t="shared" si="3"/>
        <v>131.21000000000004</v>
      </c>
      <c r="V28" s="49">
        <f t="shared" si="3"/>
        <v>25</v>
      </c>
      <c r="W28" s="49">
        <f t="shared" ref="W28" si="11">IF(W8="","",ABS(W8-W$20))</f>
        <v>15</v>
      </c>
      <c r="X28" s="44"/>
      <c r="Y28" s="49">
        <f t="shared" si="2"/>
        <v>89.317727272727268</v>
      </c>
      <c r="Z28" s="49">
        <f t="shared" si="4"/>
        <v>92.122500000000002</v>
      </c>
      <c r="AA28" s="49">
        <f t="shared" si="5"/>
        <v>98.303999999999988</v>
      </c>
      <c r="AB28" s="49">
        <f t="shared" si="6"/>
        <v>115.46499999999997</v>
      </c>
      <c r="AC28" s="44"/>
      <c r="AD28" s="50">
        <v>88</v>
      </c>
    </row>
    <row r="29" spans="1:30">
      <c r="A29" s="59" t="s">
        <v>88</v>
      </c>
      <c r="B29" s="49">
        <f t="shared" si="7"/>
        <v>133.3549999999999</v>
      </c>
      <c r="C29" s="49">
        <f t="shared" si="3"/>
        <v>17.799999999999727</v>
      </c>
      <c r="D29" s="49">
        <f t="shared" si="3"/>
        <v>113.19499999999994</v>
      </c>
      <c r="E29" s="49">
        <f t="shared" si="3"/>
        <v>0.29500000000007276</v>
      </c>
      <c r="F29" s="49">
        <f t="shared" si="3"/>
        <v>63.830000000000041</v>
      </c>
      <c r="G29" s="49">
        <f t="shared" si="3"/>
        <v>2.4800000000000182</v>
      </c>
      <c r="H29" s="49">
        <f t="shared" si="3"/>
        <v>70.700000000000045</v>
      </c>
      <c r="I29" s="49">
        <f t="shared" si="3"/>
        <v>62.264999999999873</v>
      </c>
      <c r="J29" s="49">
        <f t="shared" si="3"/>
        <v>219.3599999999999</v>
      </c>
      <c r="K29" s="49">
        <f t="shared" si="3"/>
        <v>163.22000000000025</v>
      </c>
      <c r="L29" s="49">
        <f t="shared" si="3"/>
        <v>1.0399999999997362</v>
      </c>
      <c r="M29" s="49">
        <f t="shared" si="3"/>
        <v>140.64000000000033</v>
      </c>
      <c r="N29" s="49">
        <f t="shared" si="3"/>
        <v>10.964999999999918</v>
      </c>
      <c r="O29" s="49">
        <f t="shared" si="3"/>
        <v>1.1300000000001091</v>
      </c>
      <c r="P29" s="49">
        <f t="shared" si="3"/>
        <v>74.690000000000055</v>
      </c>
      <c r="Q29" s="49">
        <f t="shared" si="3"/>
        <v>5.1849999999999454</v>
      </c>
      <c r="R29" s="49">
        <f t="shared" si="3"/>
        <v>304.75</v>
      </c>
      <c r="S29" s="49">
        <f t="shared" si="3"/>
        <v>0</v>
      </c>
      <c r="T29" s="49" t="str">
        <f t="shared" si="3"/>
        <v/>
      </c>
      <c r="U29" s="49">
        <f t="shared" si="3"/>
        <v>5.7000000000002728</v>
      </c>
      <c r="V29" s="49" t="str">
        <f t="shared" si="3"/>
        <v/>
      </c>
      <c r="W29" s="49" t="str">
        <f t="shared" ref="W29" si="12">IF(W9="","",ABS(W9-W$20))</f>
        <v/>
      </c>
      <c r="X29" s="44"/>
      <c r="Y29" s="49">
        <f t="shared" si="2"/>
        <v>73.18947368421054</v>
      </c>
      <c r="Z29" s="49">
        <f t="shared" si="4"/>
        <v>62.264999999999873</v>
      </c>
      <c r="AA29" s="49">
        <f t="shared" si="5"/>
        <v>84.649999999999977</v>
      </c>
      <c r="AB29" s="49">
        <f t="shared" si="6"/>
        <v>67.265000000000043</v>
      </c>
      <c r="AC29" s="44"/>
      <c r="AD29" s="50">
        <v>89</v>
      </c>
    </row>
    <row r="30" spans="1:30">
      <c r="A30" s="58" t="s">
        <v>25</v>
      </c>
      <c r="B30" s="49">
        <f t="shared" si="7"/>
        <v>54.064999999999941</v>
      </c>
      <c r="C30" s="49">
        <f t="shared" si="3"/>
        <v>6.9400000000000546</v>
      </c>
      <c r="D30" s="49">
        <f t="shared" si="3"/>
        <v>86.634999999999991</v>
      </c>
      <c r="E30" s="49">
        <f t="shared" si="3"/>
        <v>5.9050000000002001</v>
      </c>
      <c r="F30" s="49">
        <f t="shared" si="3"/>
        <v>230.85000000000014</v>
      </c>
      <c r="G30" s="49">
        <f t="shared" si="3"/>
        <v>118.04999999999973</v>
      </c>
      <c r="H30" s="49" t="str">
        <f t="shared" si="3"/>
        <v/>
      </c>
      <c r="I30" s="49" t="str">
        <f t="shared" si="3"/>
        <v/>
      </c>
      <c r="J30" s="49">
        <f t="shared" si="3"/>
        <v>60.639999999999986</v>
      </c>
      <c r="K30" s="49">
        <f t="shared" si="3"/>
        <v>11.819999999999709</v>
      </c>
      <c r="L30" s="49">
        <f t="shared" si="3"/>
        <v>0.34999999999990905</v>
      </c>
      <c r="M30" s="49">
        <f t="shared" si="3"/>
        <v>223.04999999999973</v>
      </c>
      <c r="N30" s="49">
        <f t="shared" si="3"/>
        <v>130.57500000000005</v>
      </c>
      <c r="O30" s="49">
        <f t="shared" si="3"/>
        <v>21.889999999999873</v>
      </c>
      <c r="P30" s="49">
        <f t="shared" si="3"/>
        <v>3.0999999999999091</v>
      </c>
      <c r="Q30" s="49">
        <f t="shared" si="3"/>
        <v>19.375</v>
      </c>
      <c r="R30" s="49">
        <f t="shared" si="3"/>
        <v>80.980000000000018</v>
      </c>
      <c r="S30" s="49">
        <f t="shared" si="3"/>
        <v>30.710000000000036</v>
      </c>
      <c r="T30" s="49" t="str">
        <f t="shared" si="3"/>
        <v/>
      </c>
      <c r="U30" s="49">
        <f t="shared" si="3"/>
        <v>53.850000000000364</v>
      </c>
      <c r="V30" s="49" t="str">
        <f t="shared" si="3"/>
        <v/>
      </c>
      <c r="W30" s="49" t="str">
        <f t="shared" ref="W30" si="13">IF(W10="","",ABS(W10-W$20))</f>
        <v/>
      </c>
      <c r="X30" s="44"/>
      <c r="Y30" s="49">
        <f t="shared" si="2"/>
        <v>66.987352941176454</v>
      </c>
      <c r="Z30" s="49">
        <f t="shared" si="4"/>
        <v>53.850000000000364</v>
      </c>
      <c r="AA30" s="49">
        <f t="shared" si="5"/>
        <v>71.863124999999968</v>
      </c>
      <c r="AB30" s="49">
        <f t="shared" si="6"/>
        <v>57.352499999999964</v>
      </c>
      <c r="AC30" s="44"/>
      <c r="AD30" s="51">
        <v>75</v>
      </c>
    </row>
    <row r="31" spans="1:30">
      <c r="A31" s="59" t="s">
        <v>102</v>
      </c>
      <c r="B31" s="49">
        <f t="shared" si="7"/>
        <v>55.855000000000018</v>
      </c>
      <c r="C31" s="49">
        <f t="shared" si="3"/>
        <v>54.199999999999818</v>
      </c>
      <c r="D31" s="49">
        <f t="shared" si="3"/>
        <v>0.41500000000007731</v>
      </c>
      <c r="E31" s="49">
        <f t="shared" si="3"/>
        <v>2.0850000000000364</v>
      </c>
      <c r="F31" s="49">
        <f t="shared" si="3"/>
        <v>5.7199999999999136</v>
      </c>
      <c r="G31" s="49">
        <f t="shared" si="3"/>
        <v>44.119999999999891</v>
      </c>
      <c r="H31" s="49">
        <f t="shared" si="3"/>
        <v>0.7800000000000864</v>
      </c>
      <c r="I31" s="49">
        <f t="shared" si="3"/>
        <v>12.855000000000018</v>
      </c>
      <c r="J31" s="49">
        <f t="shared" si="3"/>
        <v>19.660000000000082</v>
      </c>
      <c r="K31" s="49">
        <f t="shared" si="3"/>
        <v>14.269999999999982</v>
      </c>
      <c r="L31" s="49">
        <f t="shared" si="3"/>
        <v>6.790000000000191</v>
      </c>
      <c r="M31" s="49">
        <f t="shared" si="3"/>
        <v>171.54000000000019</v>
      </c>
      <c r="N31" s="49">
        <f t="shared" si="3"/>
        <v>97.164999999999964</v>
      </c>
      <c r="O31" s="49">
        <f t="shared" si="3"/>
        <v>69.269999999999982</v>
      </c>
      <c r="P31" s="49">
        <f t="shared" si="3"/>
        <v>52.909999999999854</v>
      </c>
      <c r="Q31" s="49">
        <f t="shared" si="3"/>
        <v>5.6149999999997817</v>
      </c>
      <c r="R31" s="49">
        <f t="shared" si="3"/>
        <v>40.199999999999818</v>
      </c>
      <c r="S31" s="49">
        <f t="shared" si="3"/>
        <v>4.25</v>
      </c>
      <c r="T31" s="49">
        <f t="shared" si="3"/>
        <v>100</v>
      </c>
      <c r="U31" s="49">
        <f t="shared" si="3"/>
        <v>37.4399999999996</v>
      </c>
      <c r="V31" s="49">
        <f t="shared" si="3"/>
        <v>15</v>
      </c>
      <c r="W31" s="49">
        <f t="shared" ref="W31" si="14">IF(W11="","",ABS(W11-W$20))</f>
        <v>115</v>
      </c>
      <c r="X31" s="44"/>
      <c r="Y31" s="49" t="s">
        <v>179</v>
      </c>
      <c r="Z31" s="49">
        <f t="shared" si="4"/>
        <v>28.549999999999841</v>
      </c>
      <c r="AA31" s="49">
        <f t="shared" si="5"/>
        <v>20.995999999999992</v>
      </c>
      <c r="AB31" s="49">
        <f t="shared" si="6"/>
        <v>13.5625</v>
      </c>
      <c r="AC31" s="44"/>
      <c r="AD31" s="52">
        <v>89</v>
      </c>
    </row>
    <row r="32" spans="1:30">
      <c r="A32" s="58" t="s">
        <v>27</v>
      </c>
      <c r="B32" s="49">
        <f t="shared" si="7"/>
        <v>119.02499999999998</v>
      </c>
      <c r="C32" s="49">
        <f t="shared" si="3"/>
        <v>73.010000000000218</v>
      </c>
      <c r="D32" s="49">
        <f t="shared" si="3"/>
        <v>9.4350000000000591</v>
      </c>
      <c r="E32" s="49">
        <f t="shared" si="3"/>
        <v>47.885000000000218</v>
      </c>
      <c r="F32" s="49">
        <f t="shared" si="3"/>
        <v>23.129999999999882</v>
      </c>
      <c r="G32" s="49">
        <f t="shared" si="3"/>
        <v>104.60999999999967</v>
      </c>
      <c r="H32" s="49">
        <f t="shared" si="3"/>
        <v>109.63</v>
      </c>
      <c r="I32" s="49">
        <f t="shared" si="3"/>
        <v>0.5749999999998181</v>
      </c>
      <c r="J32" s="49">
        <f t="shared" si="3"/>
        <v>110.73000000000002</v>
      </c>
      <c r="K32" s="49">
        <f t="shared" si="3"/>
        <v>11.820000000000164</v>
      </c>
      <c r="L32" s="49">
        <f t="shared" si="3"/>
        <v>6.8499999999999091</v>
      </c>
      <c r="M32" s="49">
        <f t="shared" si="3"/>
        <v>123.97000000000025</v>
      </c>
      <c r="N32" s="49">
        <f t="shared" si="3"/>
        <v>41.964999999999918</v>
      </c>
      <c r="O32" s="49">
        <f t="shared" si="3"/>
        <v>13.4699999999998</v>
      </c>
      <c r="P32" s="49">
        <f t="shared" si="3"/>
        <v>53.229999999999791</v>
      </c>
      <c r="Q32" s="49">
        <f t="shared" si="3"/>
        <v>14.875</v>
      </c>
      <c r="R32" s="49">
        <f t="shared" si="3"/>
        <v>0</v>
      </c>
      <c r="S32" s="49">
        <f t="shared" si="3"/>
        <v>17.679999999999836</v>
      </c>
      <c r="T32" s="49" t="str">
        <f t="shared" si="3"/>
        <v/>
      </c>
      <c r="U32" s="49">
        <f t="shared" si="3"/>
        <v>83.410000000000309</v>
      </c>
      <c r="V32" s="49" t="str">
        <f t="shared" si="3"/>
        <v/>
      </c>
      <c r="W32" s="49" t="str">
        <f t="shared" ref="W32" si="15">IF(W12="","",ABS(W12-W$20))</f>
        <v/>
      </c>
      <c r="X32" s="44"/>
      <c r="Y32" s="49">
        <f t="shared" si="2"/>
        <v>50.805263157894728</v>
      </c>
      <c r="Z32" s="49">
        <f t="shared" si="4"/>
        <v>41.964999999999918</v>
      </c>
      <c r="AA32" s="49">
        <f t="shared" si="5"/>
        <v>60.984999999999999</v>
      </c>
      <c r="AB32" s="49">
        <f t="shared" si="6"/>
        <v>60.447500000000218</v>
      </c>
      <c r="AC32" s="44"/>
      <c r="AD32" s="53">
        <v>93</v>
      </c>
    </row>
    <row r="33" spans="1:30">
      <c r="A33" s="58" t="s">
        <v>29</v>
      </c>
      <c r="B33" s="49">
        <f t="shared" si="7"/>
        <v>3.2450000000000045</v>
      </c>
      <c r="C33" s="49">
        <f t="shared" si="3"/>
        <v>110.83000000000038</v>
      </c>
      <c r="D33" s="49">
        <f t="shared" si="3"/>
        <v>53.125</v>
      </c>
      <c r="E33" s="49">
        <f t="shared" si="3"/>
        <v>39.724999999999909</v>
      </c>
      <c r="F33" s="49">
        <f t="shared" si="3"/>
        <v>80.080000000000041</v>
      </c>
      <c r="G33" s="49">
        <f t="shared" si="3"/>
        <v>96.039999999999964</v>
      </c>
      <c r="H33" s="49">
        <f t="shared" si="3"/>
        <v>31.740000000000009</v>
      </c>
      <c r="I33" s="49">
        <f t="shared" si="3"/>
        <v>0.5749999999998181</v>
      </c>
      <c r="J33" s="49">
        <f t="shared" si="3"/>
        <v>31.269999999999982</v>
      </c>
      <c r="K33" s="49">
        <f t="shared" si="3"/>
        <v>136.06999999999971</v>
      </c>
      <c r="L33" s="49">
        <f t="shared" si="3"/>
        <v>3.2199999999997999</v>
      </c>
      <c r="M33" s="49">
        <f t="shared" si="3"/>
        <v>193.09999999999991</v>
      </c>
      <c r="N33" s="49">
        <f t="shared" si="3"/>
        <v>5.1050000000000182</v>
      </c>
      <c r="O33" s="49">
        <f t="shared" si="3"/>
        <v>120.69000000000005</v>
      </c>
      <c r="P33" s="49">
        <f t="shared" si="3"/>
        <v>72.740000000000236</v>
      </c>
      <c r="Q33" s="49">
        <f t="shared" si="3"/>
        <v>18.514999999999873</v>
      </c>
      <c r="R33" s="49">
        <f t="shared" si="3"/>
        <v>5.0099999999999909</v>
      </c>
      <c r="S33" s="49">
        <f t="shared" si="3"/>
        <v>11.4699999999998</v>
      </c>
      <c r="T33" s="49">
        <f t="shared" si="3"/>
        <v>30</v>
      </c>
      <c r="U33" s="49">
        <f t="shared" si="3"/>
        <v>132.04000000000042</v>
      </c>
      <c r="V33" s="49">
        <f t="shared" si="3"/>
        <v>5</v>
      </c>
      <c r="W33" s="49">
        <f t="shared" ref="W33" si="16">IF(W13="","",ABS(W13-W$20))</f>
        <v>75</v>
      </c>
      <c r="X33" s="44"/>
      <c r="Y33" s="49">
        <f t="shared" si="2"/>
        <v>57.026818181818179</v>
      </c>
      <c r="Z33" s="49">
        <f t="shared" si="4"/>
        <v>35.732499999999959</v>
      </c>
      <c r="AA33" s="49">
        <f t="shared" si="5"/>
        <v>58.269999999999982</v>
      </c>
      <c r="AB33" s="49">
        <f t="shared" si="6"/>
        <v>46.424999999999955</v>
      </c>
      <c r="AC33" s="44"/>
      <c r="AD33" s="53">
        <v>93</v>
      </c>
    </row>
    <row r="34" spans="1:30">
      <c r="A34" s="58" t="s">
        <v>31</v>
      </c>
      <c r="B34" s="49">
        <f t="shared" si="7"/>
        <v>54.845000000000027</v>
      </c>
      <c r="C34" s="49">
        <f t="shared" si="3"/>
        <v>112.61000000000013</v>
      </c>
      <c r="D34" s="49">
        <f t="shared" si="3"/>
        <v>114.23500000000001</v>
      </c>
      <c r="E34" s="49">
        <f t="shared" si="3"/>
        <v>0.71500000000014552</v>
      </c>
      <c r="F34" s="49">
        <f t="shared" si="3"/>
        <v>60.720000000000027</v>
      </c>
      <c r="G34" s="49">
        <f t="shared" si="3"/>
        <v>78.940000000000055</v>
      </c>
      <c r="H34" s="49">
        <f t="shared" si="3"/>
        <v>63.589999999999918</v>
      </c>
      <c r="I34" s="49">
        <f t="shared" si="3"/>
        <v>39.445000000000164</v>
      </c>
      <c r="J34" s="49">
        <f t="shared" si="3"/>
        <v>17.970000000000027</v>
      </c>
      <c r="K34" s="49">
        <f t="shared" si="3"/>
        <v>26.779999999999745</v>
      </c>
      <c r="L34" s="49">
        <f t="shared" si="3"/>
        <v>4.8900000000001</v>
      </c>
      <c r="M34" s="49">
        <f t="shared" si="3"/>
        <v>113.29999999999973</v>
      </c>
      <c r="N34" s="49">
        <f t="shared" si="3"/>
        <v>51.115000000000009</v>
      </c>
      <c r="O34" s="49">
        <f t="shared" si="3"/>
        <v>35.690000000000055</v>
      </c>
      <c r="P34" s="49">
        <f t="shared" si="3"/>
        <v>34.559999999999945</v>
      </c>
      <c r="Q34" s="49">
        <f t="shared" si="3"/>
        <v>31.555000000000291</v>
      </c>
      <c r="R34" s="49">
        <f t="shared" si="3"/>
        <v>101.67999999999984</v>
      </c>
      <c r="S34" s="49">
        <f t="shared" si="3"/>
        <v>23.300000000000182</v>
      </c>
      <c r="T34" s="49">
        <f t="shared" si="3"/>
        <v>20</v>
      </c>
      <c r="U34" s="49">
        <f t="shared" si="3"/>
        <v>160.0799999999997</v>
      </c>
      <c r="V34" s="49">
        <f t="shared" si="3"/>
        <v>25</v>
      </c>
      <c r="W34" s="49">
        <f t="shared" ref="W34" si="17">IF(W14="","",ABS(W14-W$20))</f>
        <v>65</v>
      </c>
      <c r="X34" s="44"/>
      <c r="Y34" s="49">
        <f t="shared" si="2"/>
        <v>56.18272727272727</v>
      </c>
      <c r="Z34" s="49">
        <f t="shared" si="4"/>
        <v>45.280000000000086</v>
      </c>
      <c r="AA34" s="49">
        <f t="shared" si="5"/>
        <v>56.985000000000028</v>
      </c>
      <c r="AB34" s="49">
        <f t="shared" si="6"/>
        <v>57.782500000000027</v>
      </c>
      <c r="AC34" s="44"/>
      <c r="AD34" s="52">
        <v>89</v>
      </c>
    </row>
    <row r="35" spans="1:30">
      <c r="A35" s="58" t="s">
        <v>33</v>
      </c>
      <c r="B35" s="49">
        <f t="shared" si="7"/>
        <v>155.17500000000007</v>
      </c>
      <c r="C35" s="49">
        <f t="shared" si="3"/>
        <v>6.9399999999995998</v>
      </c>
      <c r="D35" s="49">
        <f t="shared" si="3"/>
        <v>142.63499999999999</v>
      </c>
      <c r="E35" s="49">
        <f t="shared" si="3"/>
        <v>0.10500000000001819</v>
      </c>
      <c r="F35" s="49">
        <f t="shared" si="3"/>
        <v>54.520000000000095</v>
      </c>
      <c r="G35" s="49">
        <f t="shared" si="3"/>
        <v>41.650000000000091</v>
      </c>
      <c r="H35" s="49">
        <f t="shared" si="3"/>
        <v>111.97000000000003</v>
      </c>
      <c r="I35" s="49">
        <f t="shared" si="3"/>
        <v>40.574999999999818</v>
      </c>
      <c r="J35" s="49">
        <f t="shared" si="3"/>
        <v>21.5</v>
      </c>
      <c r="K35" s="49">
        <f t="shared" si="3"/>
        <v>21.720000000000255</v>
      </c>
      <c r="L35" s="49">
        <f t="shared" si="3"/>
        <v>0.35000000000013642</v>
      </c>
      <c r="M35" s="49">
        <f t="shared" si="3"/>
        <v>67.730000000000018</v>
      </c>
      <c r="N35" s="49">
        <f t="shared" si="3"/>
        <v>59.375</v>
      </c>
      <c r="O35" s="49">
        <f t="shared" si="3"/>
        <v>30.789999999999964</v>
      </c>
      <c r="P35" s="49">
        <f t="shared" si="3"/>
        <v>3.1000000000001364</v>
      </c>
      <c r="Q35" s="49">
        <f t="shared" si="3"/>
        <v>22.345000000000255</v>
      </c>
      <c r="R35" s="49">
        <f t="shared" si="3"/>
        <v>29.589999999999918</v>
      </c>
      <c r="S35" s="49">
        <f t="shared" si="3"/>
        <v>9.0799999999999272</v>
      </c>
      <c r="T35" s="49" t="str">
        <f t="shared" si="3"/>
        <v/>
      </c>
      <c r="U35" s="49">
        <f t="shared" si="3"/>
        <v>5.8399999999996908</v>
      </c>
      <c r="V35" s="49" t="str">
        <f t="shared" si="3"/>
        <v/>
      </c>
      <c r="W35" s="49" t="str">
        <f t="shared" ref="W35" si="18">IF(W15="","",ABS(W15-W$20))</f>
        <v/>
      </c>
      <c r="X35" s="44"/>
      <c r="Y35" s="49">
        <f t="shared" si="2"/>
        <v>43.420526315789473</v>
      </c>
      <c r="Z35" s="49">
        <f t="shared" si="4"/>
        <v>29.589999999999918</v>
      </c>
      <c r="AA35" s="49">
        <f t="shared" si="5"/>
        <v>59.678999999999995</v>
      </c>
      <c r="AB35" s="49">
        <f t="shared" si="6"/>
        <v>41.112499999999955</v>
      </c>
      <c r="AC35" s="44"/>
      <c r="AD35" s="52">
        <v>87</v>
      </c>
    </row>
    <row r="36" spans="1:30">
      <c r="A36" s="58" t="s">
        <v>35</v>
      </c>
      <c r="B36" s="49">
        <f t="shared" si="7"/>
        <v>34.365000000000009</v>
      </c>
      <c r="C36" s="49">
        <f t="shared" si="3"/>
        <v>39.359999999999673</v>
      </c>
      <c r="D36" s="49">
        <f t="shared" si="3"/>
        <v>146.58499999999992</v>
      </c>
      <c r="E36" s="49">
        <f t="shared" si="3"/>
        <v>2.0050000000001091</v>
      </c>
      <c r="F36" s="49">
        <f t="shared" si="3"/>
        <v>362.47</v>
      </c>
      <c r="G36" s="49">
        <f t="shared" si="3"/>
        <v>41.940000000000055</v>
      </c>
      <c r="H36" s="49">
        <f t="shared" si="3"/>
        <v>226.80999999999995</v>
      </c>
      <c r="I36" s="49">
        <f t="shared" si="3"/>
        <v>77.224999999999909</v>
      </c>
      <c r="J36" s="49">
        <f t="shared" si="3"/>
        <v>113.78999999999996</v>
      </c>
      <c r="K36" s="49">
        <f t="shared" si="3"/>
        <v>351</v>
      </c>
      <c r="L36" s="49">
        <f t="shared" si="3"/>
        <v>6.790000000000191</v>
      </c>
      <c r="M36" s="49">
        <f t="shared" si="3"/>
        <v>249.31000000000017</v>
      </c>
      <c r="N36" s="49">
        <f t="shared" si="3"/>
        <v>106.625</v>
      </c>
      <c r="O36" s="49">
        <f t="shared" si="3"/>
        <v>72.679999999999836</v>
      </c>
      <c r="P36" s="49">
        <f t="shared" si="3"/>
        <v>199.76999999999998</v>
      </c>
      <c r="Q36" s="49">
        <f t="shared" si="3"/>
        <v>7.5949999999997999</v>
      </c>
      <c r="R36" s="49">
        <f t="shared" si="3"/>
        <v>168.93999999999983</v>
      </c>
      <c r="S36" s="49">
        <f t="shared" si="3"/>
        <v>18.710000000000036</v>
      </c>
      <c r="T36" s="49">
        <f t="shared" si="3"/>
        <v>140</v>
      </c>
      <c r="U36" s="49">
        <f t="shared" si="3"/>
        <v>32.3100000000004</v>
      </c>
      <c r="V36" s="49">
        <f t="shared" si="3"/>
        <v>25</v>
      </c>
      <c r="W36" s="49">
        <f t="shared" ref="W36" si="19">IF(W16="","",ABS(W16-W$20))</f>
        <v>65</v>
      </c>
      <c r="X36" s="44"/>
      <c r="Y36" s="49">
        <f t="shared" si="2"/>
        <v>113.10363636363635</v>
      </c>
      <c r="Z36" s="49">
        <f t="shared" si="4"/>
        <v>74.952499999999873</v>
      </c>
      <c r="AA36" s="49">
        <f t="shared" si="5"/>
        <v>139.55499999999998</v>
      </c>
      <c r="AB36" s="49">
        <f t="shared" si="6"/>
        <v>95.507499999999936</v>
      </c>
      <c r="AC36" s="44"/>
      <c r="AD36" s="52">
        <v>86</v>
      </c>
    </row>
    <row r="37" spans="1:30">
      <c r="A37" s="58" t="s">
        <v>37</v>
      </c>
      <c r="B37" s="49">
        <f t="shared" si="7"/>
        <v>32.294999999999959</v>
      </c>
      <c r="C37" s="49">
        <f t="shared" si="3"/>
        <v>116.32999999999993</v>
      </c>
      <c r="D37" s="49">
        <f t="shared" si="3"/>
        <v>14.664999999999964</v>
      </c>
      <c r="E37" s="49">
        <f t="shared" si="3"/>
        <v>1.9949999999998909</v>
      </c>
      <c r="F37" s="49">
        <f t="shared" si="3"/>
        <v>119.21999999999991</v>
      </c>
      <c r="G37" s="49">
        <f t="shared" si="3"/>
        <v>41.0300000000002</v>
      </c>
      <c r="H37" s="49">
        <f t="shared" si="3"/>
        <v>48.049999999999955</v>
      </c>
      <c r="I37" s="49">
        <f t="shared" si="3"/>
        <v>77.855000000000018</v>
      </c>
      <c r="J37" s="49">
        <f t="shared" si="3"/>
        <v>94.8599999999999</v>
      </c>
      <c r="K37" s="49">
        <f t="shared" si="3"/>
        <v>177.65000000000009</v>
      </c>
      <c r="L37" s="49">
        <f t="shared" si="3"/>
        <v>7.6599999999998545</v>
      </c>
      <c r="M37" s="49">
        <f t="shared" ref="C37:V38" si="20">IF(M17="","",ABS(M17-M$20))</f>
        <v>57.259999999999764</v>
      </c>
      <c r="N37" s="49">
        <f t="shared" si="20"/>
        <v>5.1050000000000182</v>
      </c>
      <c r="O37" s="49">
        <f t="shared" si="20"/>
        <v>12.769999999999982</v>
      </c>
      <c r="P37" s="49">
        <f t="shared" si="20"/>
        <v>113.84999999999991</v>
      </c>
      <c r="Q37" s="49">
        <f t="shared" si="20"/>
        <v>35.565000000000055</v>
      </c>
      <c r="R37" s="49">
        <f t="shared" si="20"/>
        <v>51.919999999999845</v>
      </c>
      <c r="S37" s="49">
        <f t="shared" si="20"/>
        <v>12.519999999999982</v>
      </c>
      <c r="T37" s="49">
        <f t="shared" si="20"/>
        <v>0</v>
      </c>
      <c r="U37" s="49">
        <f t="shared" si="20"/>
        <v>47.930000000000291</v>
      </c>
      <c r="V37" s="49">
        <f t="shared" si="20"/>
        <v>0</v>
      </c>
      <c r="W37" s="49">
        <f t="shared" ref="W37" si="21">IF(W17="","",ABS(W17-W$20))</f>
        <v>15</v>
      </c>
      <c r="X37" s="44"/>
      <c r="Y37" s="49">
        <f t="shared" si="2"/>
        <v>49.251363636363614</v>
      </c>
      <c r="Z37" s="49">
        <f t="shared" si="4"/>
        <v>38.297500000000127</v>
      </c>
      <c r="AA37" s="49">
        <f t="shared" si="5"/>
        <v>72.394999999999982</v>
      </c>
      <c r="AB37" s="49">
        <f t="shared" si="6"/>
        <v>62.952499999999986</v>
      </c>
      <c r="AC37" s="44"/>
      <c r="AD37" s="52">
        <v>93</v>
      </c>
    </row>
    <row r="38" spans="1:30">
      <c r="A38" s="60" t="s">
        <v>39</v>
      </c>
      <c r="B38" s="54">
        <f t="shared" si="7"/>
        <v>3.2450000000000045</v>
      </c>
      <c r="C38" s="54">
        <f t="shared" si="20"/>
        <v>116.57999999999993</v>
      </c>
      <c r="D38" s="54">
        <f t="shared" si="20"/>
        <v>83.485000000000014</v>
      </c>
      <c r="E38" s="54">
        <f t="shared" si="20"/>
        <v>2.0250000000000909</v>
      </c>
      <c r="F38" s="54">
        <f t="shared" si="20"/>
        <v>12.619999999999891</v>
      </c>
      <c r="G38" s="54">
        <f t="shared" si="20"/>
        <v>42.140000000000327</v>
      </c>
      <c r="H38" s="54">
        <f t="shared" si="20"/>
        <v>90.480000000000018</v>
      </c>
      <c r="I38" s="54">
        <f t="shared" si="20"/>
        <v>174.16499999999996</v>
      </c>
      <c r="J38" s="54">
        <f t="shared" si="20"/>
        <v>17.969999999999914</v>
      </c>
      <c r="K38" s="54">
        <f t="shared" si="20"/>
        <v>158</v>
      </c>
      <c r="L38" s="54">
        <f t="shared" si="20"/>
        <v>1.8800000000001091</v>
      </c>
      <c r="M38" s="54">
        <f t="shared" si="20"/>
        <v>23.200000000000273</v>
      </c>
      <c r="N38" s="54">
        <f t="shared" si="20"/>
        <v>48.485000000000127</v>
      </c>
      <c r="O38" s="54">
        <f t="shared" si="20"/>
        <v>47.529999999999745</v>
      </c>
      <c r="P38" s="54">
        <f t="shared" si="20"/>
        <v>75.769999999999982</v>
      </c>
      <c r="Q38" s="54">
        <f t="shared" si="20"/>
        <v>41.735000000000127</v>
      </c>
      <c r="R38" s="54">
        <f t="shared" si="20"/>
        <v>242.32999999999993</v>
      </c>
      <c r="S38" s="54">
        <f t="shared" si="20"/>
        <v>36.7199999999998</v>
      </c>
      <c r="T38" s="54">
        <f t="shared" si="20"/>
        <v>90</v>
      </c>
      <c r="U38" s="54">
        <f t="shared" si="20"/>
        <v>130.85999999999967</v>
      </c>
      <c r="V38" s="54">
        <f t="shared" si="20"/>
        <v>25</v>
      </c>
      <c r="W38" s="54">
        <f t="shared" ref="W38" si="22">IF(W18="","",ABS(W18-W$20))</f>
        <v>135</v>
      </c>
      <c r="X38" s="47"/>
      <c r="Y38" s="54">
        <f t="shared" si="2"/>
        <v>72.691818181818178</v>
      </c>
      <c r="Z38" s="54">
        <f t="shared" si="4"/>
        <v>48.007499999999936</v>
      </c>
      <c r="AA38" s="54">
        <f t="shared" si="5"/>
        <v>70.071000000000012</v>
      </c>
      <c r="AB38" s="54">
        <f t="shared" si="6"/>
        <v>62.812500000000171</v>
      </c>
      <c r="AC38" s="47"/>
      <c r="AD38" s="55">
        <v>86</v>
      </c>
    </row>
    <row r="39" spans="1:30">
      <c r="Y39" s="54"/>
      <c r="Z39" s="54"/>
      <c r="AA39" s="54"/>
      <c r="AB39" s="54"/>
    </row>
    <row r="40" spans="1:30">
      <c r="Y40" s="54"/>
      <c r="Z40" s="54"/>
      <c r="AA40" s="54"/>
      <c r="AB40" s="54"/>
    </row>
    <row r="41" spans="1:30">
      <c r="A41" t="s">
        <v>176</v>
      </c>
      <c r="B41">
        <v>1032.42</v>
      </c>
      <c r="C41">
        <v>2890.92</v>
      </c>
      <c r="D41">
        <v>786.95</v>
      </c>
      <c r="E41">
        <v>2908.91</v>
      </c>
      <c r="F41">
        <v>887.93</v>
      </c>
      <c r="G41">
        <v>2897.05</v>
      </c>
      <c r="H41">
        <v>874.37</v>
      </c>
      <c r="I41">
        <v>2843.64</v>
      </c>
      <c r="J41">
        <v>1000.74</v>
      </c>
      <c r="K41">
        <v>2809.52</v>
      </c>
      <c r="L41">
        <v>1886.09</v>
      </c>
      <c r="M41">
        <v>1908.57</v>
      </c>
      <c r="N41">
        <v>1725.33</v>
      </c>
      <c r="O41">
        <v>2073.81</v>
      </c>
      <c r="P41">
        <v>1962.23</v>
      </c>
      <c r="Q41">
        <v>2381.7199999999998</v>
      </c>
      <c r="R41">
        <v>1620.3</v>
      </c>
      <c r="S41">
        <v>2392.7199999999998</v>
      </c>
      <c r="U41">
        <v>2014.37</v>
      </c>
      <c r="V41">
        <v>2060.27</v>
      </c>
      <c r="W41">
        <v>2160.69</v>
      </c>
      <c r="Y41" s="54"/>
      <c r="Z41" s="54"/>
      <c r="AA41" s="54"/>
      <c r="AB41" s="54"/>
    </row>
    <row r="42" spans="1:30">
      <c r="A42" t="s">
        <v>0</v>
      </c>
      <c r="B42" s="49">
        <f>ABS(B41-B$20)</f>
        <v>108.19500000000005</v>
      </c>
      <c r="C42" s="49">
        <f t="shared" ref="C42:W42" si="23">ABS(C41-C$20)</f>
        <v>69.130000000000109</v>
      </c>
      <c r="D42" s="49">
        <f t="shared" si="23"/>
        <v>67.384999999999991</v>
      </c>
      <c r="E42" s="49">
        <f t="shared" si="23"/>
        <v>102.84500000000025</v>
      </c>
      <c r="F42" s="49">
        <f t="shared" si="23"/>
        <v>4.6100000000000136</v>
      </c>
      <c r="G42" s="49">
        <f t="shared" si="23"/>
        <v>154.06999999999971</v>
      </c>
      <c r="H42" s="49">
        <f t="shared" si="23"/>
        <v>14.92999999999995</v>
      </c>
      <c r="I42" s="49">
        <f t="shared" si="23"/>
        <v>4.7550000000001091</v>
      </c>
      <c r="J42" s="49">
        <f t="shared" si="23"/>
        <v>94.539999999999964</v>
      </c>
      <c r="K42" s="49">
        <f t="shared" si="23"/>
        <v>78.849999999999909</v>
      </c>
      <c r="L42" s="49">
        <f t="shared" si="23"/>
        <v>1.3099999999997181</v>
      </c>
      <c r="M42" s="49">
        <f t="shared" si="23"/>
        <v>310.06000000000017</v>
      </c>
      <c r="N42" s="49">
        <f t="shared" si="23"/>
        <v>90.105000000000018</v>
      </c>
      <c r="O42" s="49">
        <f t="shared" si="23"/>
        <v>70.400000000000091</v>
      </c>
      <c r="P42" s="49">
        <f t="shared" si="23"/>
        <v>51.639999999999873</v>
      </c>
      <c r="Q42" s="49">
        <f t="shared" si="23"/>
        <v>6.2349999999996726</v>
      </c>
      <c r="R42" s="49">
        <f t="shared" si="23"/>
        <v>122.28999999999996</v>
      </c>
      <c r="S42" s="49">
        <f t="shared" si="23"/>
        <v>5.9899999999997817</v>
      </c>
      <c r="T42" s="49"/>
      <c r="U42" s="49">
        <f t="shared" si="23"/>
        <v>97.619999999999891</v>
      </c>
      <c r="V42" s="49">
        <f t="shared" si="23"/>
        <v>75.269999999999982</v>
      </c>
      <c r="W42" s="49">
        <f t="shared" si="23"/>
        <v>74.309999999999945</v>
      </c>
      <c r="Y42" s="54">
        <f t="shared" ref="Y42" si="24">AVERAGE(B42:W42)</f>
        <v>76.406666666666624</v>
      </c>
      <c r="Z42" s="54">
        <f t="shared" ref="Z42" si="25">MEDIAN(B42:W42)</f>
        <v>74.309999999999945</v>
      </c>
      <c r="AA42" s="54">
        <f t="shared" ref="AA42" si="26">AVERAGE(B42:K42)</f>
        <v>69.931000000000012</v>
      </c>
      <c r="AB42" s="54">
        <f t="shared" ref="AB42" si="27">MEDIAN(B42:K42)</f>
        <v>73.990000000000009</v>
      </c>
    </row>
    <row r="43" spans="1:30">
      <c r="Y43" s="54"/>
      <c r="Z43" s="54"/>
      <c r="AA43" s="54"/>
      <c r="AB43" s="54"/>
    </row>
    <row r="44" spans="1:30">
      <c r="Y44" s="54"/>
      <c r="Z44" s="54"/>
      <c r="AA44" s="54"/>
      <c r="AB44" s="54"/>
    </row>
    <row r="45" spans="1:30">
      <c r="A45" t="s">
        <v>177</v>
      </c>
      <c r="B45">
        <v>945.94</v>
      </c>
      <c r="C45">
        <v>2902.55</v>
      </c>
      <c r="D45">
        <v>900.39</v>
      </c>
      <c r="E45">
        <v>3013.9</v>
      </c>
      <c r="F45">
        <v>1064.18</v>
      </c>
      <c r="G45">
        <v>3023.36</v>
      </c>
      <c r="H45">
        <v>930.05</v>
      </c>
      <c r="I45">
        <v>2856.8</v>
      </c>
      <c r="J45">
        <v>846.7</v>
      </c>
      <c r="K45">
        <v>2923.42</v>
      </c>
      <c r="L45">
        <v>1872.79</v>
      </c>
      <c r="M45">
        <v>2295.36</v>
      </c>
      <c r="N45">
        <v>1564.61</v>
      </c>
      <c r="O45">
        <v>2173.9</v>
      </c>
      <c r="P45">
        <v>1814.25</v>
      </c>
      <c r="Q45">
        <v>2409.16</v>
      </c>
      <c r="R45">
        <v>1600.25</v>
      </c>
      <c r="S45">
        <v>2402.5500000000002</v>
      </c>
      <c r="T45">
        <v>903.16</v>
      </c>
      <c r="U45">
        <v>1875.87</v>
      </c>
      <c r="V45">
        <v>2044.29</v>
      </c>
      <c r="W45">
        <v>2265.81</v>
      </c>
      <c r="Y45" s="54"/>
      <c r="Z45" s="54"/>
      <c r="AA45" s="54"/>
      <c r="AB45" s="54"/>
    </row>
    <row r="46" spans="1:30">
      <c r="A46" t="s">
        <v>178</v>
      </c>
      <c r="B46">
        <v>1267.8900000000001</v>
      </c>
      <c r="C46">
        <v>2461.5100000000002</v>
      </c>
      <c r="D46">
        <v>1280.3699999999999</v>
      </c>
      <c r="E46">
        <v>2577.77</v>
      </c>
      <c r="F46">
        <v>1288.56</v>
      </c>
      <c r="G46">
        <v>2545.9499999999998</v>
      </c>
      <c r="H46">
        <v>1404.84</v>
      </c>
      <c r="I46">
        <v>2473.94</v>
      </c>
      <c r="J46">
        <v>1263.8</v>
      </c>
      <c r="K46">
        <v>2614.12</v>
      </c>
      <c r="L46">
        <v>1889.92</v>
      </c>
      <c r="M46">
        <v>1906.46</v>
      </c>
      <c r="N46">
        <v>1678.01</v>
      </c>
      <c r="O46">
        <v>1952.65</v>
      </c>
      <c r="P46">
        <v>2003.26</v>
      </c>
      <c r="Q46">
        <v>2108.13</v>
      </c>
      <c r="R46">
        <v>1923.65</v>
      </c>
      <c r="S46">
        <v>2091.59</v>
      </c>
      <c r="T46">
        <v>811</v>
      </c>
      <c r="U46">
        <v>1293.43</v>
      </c>
      <c r="V46">
        <v>2011.02</v>
      </c>
      <c r="W46">
        <v>2069.0500000000002</v>
      </c>
      <c r="Y46" s="54"/>
      <c r="Z46" s="54"/>
      <c r="AA46" s="54"/>
      <c r="AB46" s="54"/>
    </row>
    <row r="47" spans="1:30">
      <c r="A47" t="s">
        <v>0</v>
      </c>
      <c r="B47">
        <f>ABS(B45-B46)</f>
        <v>321.95000000000005</v>
      </c>
      <c r="C47">
        <f t="shared" ref="C47:W47" si="28">ABS(C45-C46)</f>
        <v>441.03999999999996</v>
      </c>
      <c r="D47">
        <f t="shared" si="28"/>
        <v>379.9799999999999</v>
      </c>
      <c r="E47">
        <f t="shared" si="28"/>
        <v>436.13000000000011</v>
      </c>
      <c r="F47">
        <f t="shared" si="28"/>
        <v>224.37999999999988</v>
      </c>
      <c r="G47">
        <f t="shared" si="28"/>
        <v>477.41000000000031</v>
      </c>
      <c r="H47">
        <f t="shared" si="28"/>
        <v>474.78999999999996</v>
      </c>
      <c r="I47">
        <f t="shared" si="28"/>
        <v>382.86000000000013</v>
      </c>
      <c r="J47">
        <f t="shared" si="28"/>
        <v>417.09999999999991</v>
      </c>
      <c r="K47">
        <f t="shared" si="28"/>
        <v>309.30000000000018</v>
      </c>
      <c r="L47">
        <f t="shared" si="28"/>
        <v>17.130000000000109</v>
      </c>
      <c r="M47">
        <f t="shared" si="28"/>
        <v>388.90000000000009</v>
      </c>
      <c r="N47">
        <f t="shared" si="28"/>
        <v>113.40000000000009</v>
      </c>
      <c r="O47">
        <f t="shared" si="28"/>
        <v>221.25</v>
      </c>
      <c r="P47">
        <f t="shared" si="28"/>
        <v>189.01</v>
      </c>
      <c r="Q47">
        <f t="shared" si="28"/>
        <v>301.02999999999975</v>
      </c>
      <c r="R47">
        <f t="shared" si="28"/>
        <v>323.40000000000009</v>
      </c>
      <c r="S47">
        <f t="shared" si="28"/>
        <v>310.96000000000004</v>
      </c>
      <c r="T47">
        <f t="shared" si="28"/>
        <v>92.159999999999968</v>
      </c>
      <c r="U47">
        <f t="shared" si="28"/>
        <v>582.43999999999983</v>
      </c>
      <c r="V47">
        <f t="shared" si="28"/>
        <v>33.269999999999982</v>
      </c>
      <c r="W47">
        <f t="shared" si="28"/>
        <v>196.75999999999976</v>
      </c>
      <c r="Y47" s="54">
        <f t="shared" ref="Y43:Y47" si="29">AVERAGE(B47:W47)</f>
        <v>301.57500000000005</v>
      </c>
      <c r="Z47" s="54">
        <f t="shared" ref="Z43:Z47" si="30">MEDIAN(B47:W47)</f>
        <v>316.45500000000004</v>
      </c>
      <c r="AA47" s="54">
        <f t="shared" ref="AA43:AA47" si="31">AVERAGE(B47:K47)</f>
        <v>386.49400000000003</v>
      </c>
      <c r="AB47" s="54">
        <f t="shared" ref="AB43:AB47" si="32">MEDIAN(B47:K47)</f>
        <v>399.98</v>
      </c>
    </row>
  </sheetData>
  <conditionalFormatting sqref="AA23:AA4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4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4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5:AD38 AD2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3:AD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EA765-E783-4B83-B27E-260C61C0F63A}">
  <dimension ref="A1:AU65"/>
  <sheetViews>
    <sheetView zoomScale="85" zoomScaleNormal="85" workbookViewId="0">
      <selection activeCell="AP7" sqref="AP7"/>
    </sheetView>
  </sheetViews>
  <sheetFormatPr defaultRowHeight="12.75"/>
  <cols>
    <col min="7" max="7" width="12.42578125" customWidth="1"/>
    <col min="8" max="9" width="1.28515625" customWidth="1"/>
    <col min="10" max="10" width="1.140625" customWidth="1"/>
    <col min="11" max="11" width="2" customWidth="1"/>
    <col min="12" max="12" width="4" customWidth="1"/>
    <col min="15" max="15" width="8.5703125" bestFit="1" customWidth="1"/>
    <col min="17" max="17" width="7.42578125" customWidth="1"/>
    <col min="18" max="18" width="10.7109375" customWidth="1"/>
    <col min="19" max="20" width="10.42578125" customWidth="1"/>
    <col min="21" max="21" width="10.28515625" customWidth="1"/>
    <col min="22" max="22" width="10.7109375" customWidth="1"/>
    <col min="23" max="23" width="4.28515625" customWidth="1"/>
    <col min="24" max="24" width="4.42578125" customWidth="1"/>
    <col min="25" max="25" width="1.7109375" customWidth="1"/>
    <col min="26" max="26" width="4" customWidth="1"/>
    <col min="27" max="27" width="4.42578125" customWidth="1"/>
    <col min="28" max="28" width="1.7109375" customWidth="1"/>
    <col min="29" max="29" width="7" customWidth="1"/>
    <col min="30" max="30" width="3.140625" customWidth="1"/>
    <col min="31" max="31" width="7.7109375" customWidth="1"/>
    <col min="36" max="36" width="9.7109375" customWidth="1"/>
    <col min="43" max="43" width="7.28515625" customWidth="1"/>
    <col min="44" max="44" width="6.5703125" customWidth="1"/>
  </cols>
  <sheetData>
    <row r="1" spans="1:46" ht="36.75" customHeight="1">
      <c r="A1" s="29" t="s">
        <v>72</v>
      </c>
      <c r="B1" s="29" t="s">
        <v>1</v>
      </c>
      <c r="C1" s="30" t="s">
        <v>2</v>
      </c>
      <c r="D1" s="31" t="s">
        <v>3</v>
      </c>
      <c r="E1" s="31" t="s">
        <v>4</v>
      </c>
      <c r="F1" s="31" t="s">
        <v>5</v>
      </c>
      <c r="G1" s="30" t="s">
        <v>6</v>
      </c>
      <c r="H1" s="29" t="s">
        <v>7</v>
      </c>
      <c r="I1" s="29" t="s">
        <v>8</v>
      </c>
      <c r="J1" s="29" t="s">
        <v>9</v>
      </c>
      <c r="K1" s="29" t="s">
        <v>73</v>
      </c>
      <c r="L1" s="29" t="s">
        <v>0</v>
      </c>
      <c r="M1" s="29" t="s">
        <v>74</v>
      </c>
      <c r="N1" s="29" t="s">
        <v>10</v>
      </c>
      <c r="O1" s="29" t="s">
        <v>153</v>
      </c>
      <c r="P1" s="29" t="s">
        <v>12</v>
      </c>
      <c r="Q1" s="29" t="s">
        <v>125</v>
      </c>
      <c r="R1" s="29" t="s">
        <v>126</v>
      </c>
      <c r="S1" s="29" t="s">
        <v>80</v>
      </c>
      <c r="T1" s="29" t="s">
        <v>81</v>
      </c>
      <c r="U1" s="29" t="s">
        <v>109</v>
      </c>
      <c r="V1" s="29" t="s">
        <v>110</v>
      </c>
      <c r="W1" s="29" t="s">
        <v>77</v>
      </c>
      <c r="X1" s="29" t="s">
        <v>78</v>
      </c>
      <c r="Y1" s="29" t="s">
        <v>75</v>
      </c>
      <c r="Z1" s="29" t="s">
        <v>40</v>
      </c>
      <c r="AA1" s="29" t="s">
        <v>79</v>
      </c>
      <c r="AB1" s="29" t="s">
        <v>76</v>
      </c>
      <c r="AC1" s="29" t="s">
        <v>13</v>
      </c>
      <c r="AD1" s="29" t="s">
        <v>131</v>
      </c>
      <c r="AE1" s="29" t="s">
        <v>130</v>
      </c>
      <c r="AF1" s="29" t="s">
        <v>128</v>
      </c>
      <c r="AG1" s="29" t="s">
        <v>129</v>
      </c>
      <c r="AH1" s="29" t="s">
        <v>132</v>
      </c>
      <c r="AI1" s="29" t="s">
        <v>133</v>
      </c>
      <c r="AJ1" s="34" t="s">
        <v>148</v>
      </c>
      <c r="AK1" s="29" t="s">
        <v>147</v>
      </c>
      <c r="AL1" s="29" t="s">
        <v>142</v>
      </c>
      <c r="AM1" s="29" t="s">
        <v>143</v>
      </c>
      <c r="AN1" s="29" t="s">
        <v>144</v>
      </c>
      <c r="AO1" s="29" t="s">
        <v>145</v>
      </c>
      <c r="AP1" s="29" t="s">
        <v>149</v>
      </c>
      <c r="AQ1" s="29" t="s">
        <v>150</v>
      </c>
      <c r="AR1" s="29" t="s">
        <v>151</v>
      </c>
      <c r="AS1" s="29" t="s">
        <v>152</v>
      </c>
      <c r="AT1" s="29" t="s">
        <v>159</v>
      </c>
    </row>
    <row r="2" spans="1:46">
      <c r="A2">
        <v>1</v>
      </c>
      <c r="B2" t="s">
        <v>14</v>
      </c>
      <c r="C2">
        <v>72.5</v>
      </c>
      <c r="D2">
        <v>50</v>
      </c>
      <c r="E2">
        <v>46</v>
      </c>
      <c r="G2">
        <v>96</v>
      </c>
      <c r="H2">
        <v>1.1000000000000001</v>
      </c>
      <c r="I2">
        <v>0</v>
      </c>
      <c r="K2" s="6"/>
      <c r="L2" s="6">
        <f>ABS(C2-G2)</f>
        <v>23.5</v>
      </c>
      <c r="M2" s="6"/>
      <c r="N2" t="s">
        <v>15</v>
      </c>
      <c r="O2">
        <v>835.9</v>
      </c>
      <c r="P2">
        <v>2714.92</v>
      </c>
      <c r="Q2">
        <f>Table111[[#This Row],[max]]-Table111[[#This Row],[BENT  min]]</f>
        <v>1879.02</v>
      </c>
      <c r="R2" s="4">
        <f>VLOOKUP(Table111[[#This Row],[finger]],fingerMaxMin[],3)-Table111[[#This Row],[max]]</f>
        <v>364.07999999999993</v>
      </c>
      <c r="S2" s="7">
        <f t="shared" ref="S2:S18" si="0">O2/scale</f>
        <v>44.99407901819356</v>
      </c>
      <c r="T2" s="7">
        <f t="shared" ref="T2:T18" si="1">P2/scale</f>
        <v>146.13629023576274</v>
      </c>
      <c r="U2" s="28">
        <f>Table111[[#This Row],[scaled max]]-Table111[[#This Row],[scaled min]]</f>
        <v>101.14221121756918</v>
      </c>
      <c r="V2" s="28">
        <f>(VLOOKUP(Table111[[#This Row],[finger]],fingerMaxMin[],3)/scale)-S2</f>
        <v>120.73958445473141</v>
      </c>
      <c r="W2" s="8">
        <f>SIN(RADIANS(S2))</f>
        <v>0.70703370455252179</v>
      </c>
      <c r="X2" s="8">
        <f>SIN(RADIANS(T2))</f>
        <v>0.55721928055352743</v>
      </c>
      <c r="Y2" s="6"/>
      <c r="Z2">
        <f>COS(RADIANS(S2))</f>
        <v>0.70717985026917829</v>
      </c>
      <c r="AA2">
        <f>COS(RADIANS(T2))</f>
        <v>-0.8303653854655848</v>
      </c>
      <c r="AB2" s="6"/>
      <c r="AC2" s="6">
        <f>O2/P2</f>
        <v>0.30789120858073166</v>
      </c>
      <c r="AD2" s="6"/>
      <c r="AE2" t="s">
        <v>15</v>
      </c>
      <c r="AF2">
        <v>1434.73</v>
      </c>
      <c r="AG2">
        <v>2165.94</v>
      </c>
      <c r="AH2" s="6">
        <f>Table111[[#This Row],[Smax]]-Table111[[#This Row],[Smin]]</f>
        <v>731.21</v>
      </c>
      <c r="AI2" s="6">
        <f>AVERAGE(Table111[[#This Row],[Smin]:[Smax]])</f>
        <v>1800.335</v>
      </c>
      <c r="AJ2" s="6"/>
      <c r="AK2" s="6" t="s">
        <v>15</v>
      </c>
      <c r="AL2" s="6">
        <v>2235.2199999999998</v>
      </c>
      <c r="AM2" s="6">
        <v>2475.5</v>
      </c>
      <c r="AN2" s="6">
        <f>AM2-AL2</f>
        <v>240.2800000000002</v>
      </c>
      <c r="AO2" s="6">
        <f>AVERAGE(AL2:AM2)</f>
        <v>2355.3599999999997</v>
      </c>
      <c r="AQ2">
        <v>720</v>
      </c>
      <c r="AR2">
        <v>2010</v>
      </c>
      <c r="AS2">
        <v>2260</v>
      </c>
      <c r="AT2" s="6">
        <f>IF(Table111[[#This Row],[NEW Rmax]]="","",Table111[[#This Row],[NEW Rmax]]-Table111[[#This Row],[NEW Rmin]])</f>
        <v>250</v>
      </c>
    </row>
    <row r="3" spans="1:46">
      <c r="A3">
        <v>1</v>
      </c>
      <c r="B3" t="s">
        <v>89</v>
      </c>
      <c r="C3">
        <v>76</v>
      </c>
      <c r="D3">
        <v>49</v>
      </c>
      <c r="E3">
        <v>38</v>
      </c>
      <c r="G3">
        <v>87</v>
      </c>
      <c r="H3">
        <v>1.1000000000000001</v>
      </c>
      <c r="I3">
        <v>0</v>
      </c>
      <c r="J3">
        <v>0.6</v>
      </c>
      <c r="K3" s="6"/>
      <c r="L3" s="6">
        <f>ABS(C3-G3)</f>
        <v>11</v>
      </c>
      <c r="M3" s="6"/>
      <c r="N3" t="s">
        <v>87</v>
      </c>
      <c r="O3">
        <v>740.68</v>
      </c>
      <c r="P3">
        <v>2685.73</v>
      </c>
      <c r="Q3">
        <f>Table111[[#This Row],[max]]-Table111[[#This Row],[BENT  min]]</f>
        <v>1945.0500000000002</v>
      </c>
      <c r="R3" s="4">
        <f>VLOOKUP(Table111[[#This Row],[finger]],fingerMaxMin[],3)-Table111[[#This Row],[max]]</f>
        <v>393.27</v>
      </c>
      <c r="S3" s="7">
        <f t="shared" si="0"/>
        <v>39.868661858111743</v>
      </c>
      <c r="T3" s="7">
        <f t="shared" si="1"/>
        <v>144.56507697276348</v>
      </c>
      <c r="U3" s="28">
        <f>Table111[[#This Row],[scaled max]]-Table111[[#This Row],[scaled min]]</f>
        <v>104.69641511465173</v>
      </c>
      <c r="V3" s="28">
        <f>(VLOOKUP(Table111[[#This Row],[finger]],fingerMaxMin[],3)/scale)-S3</f>
        <v>125.86500161481322</v>
      </c>
      <c r="W3" s="8">
        <f>SIN(RADIANS(S3))</f>
        <v>0.6410299317802175</v>
      </c>
      <c r="X3" s="8">
        <f>SIN(RADIANS(T3))</f>
        <v>0.57977790287503106</v>
      </c>
      <c r="Y3" s="6"/>
      <c r="Z3">
        <f>COS(RADIANS(S3))</f>
        <v>0.76751588033202922</v>
      </c>
      <c r="AA3">
        <f>COS(RADIANS(T3))</f>
        <v>-0.81477455982488245</v>
      </c>
      <c r="AB3" s="6"/>
      <c r="AC3" s="6">
        <f>O3/P3</f>
        <v>0.27578349275615938</v>
      </c>
      <c r="AD3" s="6"/>
      <c r="AE3" t="s">
        <v>87</v>
      </c>
      <c r="AF3">
        <v>958.55</v>
      </c>
      <c r="AG3">
        <v>1946.92</v>
      </c>
      <c r="AH3" s="6">
        <f>Table111[[#This Row],[Smax]]-Table111[[#This Row],[Smin]]</f>
        <v>988.37000000000012</v>
      </c>
      <c r="AI3" s="6">
        <f>AVERAGE(Table111[[#This Row],[Smin]:[Smax]])</f>
        <v>1452.7350000000001</v>
      </c>
      <c r="AJ3" s="6"/>
      <c r="AK3" s="6" t="s">
        <v>87</v>
      </c>
      <c r="AL3" s="6">
        <v>2144.6</v>
      </c>
      <c r="AM3" s="6">
        <v>2404.2199999999998</v>
      </c>
      <c r="AN3" s="6">
        <f t="shared" ref="AN3:AN18" si="2">AM3-AL3</f>
        <v>259.61999999999989</v>
      </c>
      <c r="AO3" s="6">
        <f t="shared" ref="AO3:AO18" si="3">AVERAGE(AL3:AM3)</f>
        <v>2274.41</v>
      </c>
      <c r="AQ3">
        <v>570</v>
      </c>
      <c r="AR3">
        <v>2022</v>
      </c>
      <c r="AS3">
        <v>2270</v>
      </c>
      <c r="AT3" s="6">
        <f>IF(Table111[[#This Row],[NEW Rmax]]="","",Table111[[#This Row],[NEW Rmax]]-Table111[[#This Row],[NEW Rmin]])</f>
        <v>248</v>
      </c>
    </row>
    <row r="4" spans="1:46">
      <c r="A4">
        <v>1</v>
      </c>
      <c r="B4" t="s">
        <v>16</v>
      </c>
      <c r="C4">
        <v>74.7</v>
      </c>
      <c r="D4">
        <v>51</v>
      </c>
      <c r="E4">
        <v>34</v>
      </c>
      <c r="G4">
        <v>85</v>
      </c>
      <c r="H4">
        <v>1</v>
      </c>
      <c r="I4">
        <v>15</v>
      </c>
      <c r="J4">
        <v>0.5</v>
      </c>
      <c r="K4" s="6"/>
      <c r="L4" s="6">
        <f t="shared" ref="L4:L18" si="4">ABS(C4-G4)</f>
        <v>10.299999999999997</v>
      </c>
      <c r="M4" s="6"/>
      <c r="N4" t="s">
        <v>17</v>
      </c>
      <c r="O4">
        <v>836.08</v>
      </c>
      <c r="P4">
        <v>2463.96</v>
      </c>
      <c r="Q4">
        <f>Table111[[#This Row],[max]]-Table111[[#This Row],[BENT  min]]</f>
        <v>1627.88</v>
      </c>
      <c r="R4" s="4">
        <f>VLOOKUP(Table111[[#This Row],[finger]],fingerMaxMin[],3)-Table111[[#This Row],[max]]</f>
        <v>615.04</v>
      </c>
      <c r="S4" s="7">
        <f t="shared" si="0"/>
        <v>45.003767897513193</v>
      </c>
      <c r="T4" s="7">
        <f t="shared" si="1"/>
        <v>132.62783937991173</v>
      </c>
      <c r="U4" s="28">
        <f>Table111[[#This Row],[scaled max]]-Table111[[#This Row],[scaled min]]</f>
        <v>87.624071482398534</v>
      </c>
      <c r="V4" s="28">
        <f>(VLOOKUP(Table111[[#This Row],[finger]],fingerMaxMin[],3)/scale)-S4</f>
        <v>120.72989557541177</v>
      </c>
      <c r="W4" s="8">
        <f t="shared" ref="W4:W18" si="5">SIN(RADIANS(S4))</f>
        <v>0.70715328056744053</v>
      </c>
      <c r="X4" s="8">
        <f t="shared" ref="X4:X18" si="6">SIN(RADIANS(T4))</f>
        <v>0.73576811376031792</v>
      </c>
      <c r="Y4" s="6"/>
      <c r="Z4">
        <f t="shared" ref="Z4:Z18" si="7">COS(RADIANS(S4))</f>
        <v>0.70706027874765154</v>
      </c>
      <c r="AA4">
        <f t="shared" ref="AA4:AA18" si="8">COS(RADIANS(T4))</f>
        <v>-0.67723355112810524</v>
      </c>
      <c r="AB4" s="6"/>
      <c r="AC4" s="6">
        <f t="shared" ref="AC4:AC18" si="9">O4/P4</f>
        <v>0.33932369031964804</v>
      </c>
      <c r="AD4" s="6"/>
      <c r="AE4" t="s">
        <v>17</v>
      </c>
      <c r="AF4">
        <v>1619.68</v>
      </c>
      <c r="AG4">
        <v>2106.29</v>
      </c>
      <c r="AH4" s="6">
        <f>Table111[[#This Row],[Smax]]-Table111[[#This Row],[Smin]]</f>
        <v>486.6099999999999</v>
      </c>
      <c r="AI4" s="6">
        <f>AVERAGE(Table111[[#This Row],[Smin]:[Smax]])</f>
        <v>1862.9850000000001</v>
      </c>
      <c r="AJ4" s="6"/>
      <c r="AK4" s="6" t="s">
        <v>17</v>
      </c>
      <c r="AL4" s="6">
        <v>2128.84</v>
      </c>
      <c r="AM4" s="6">
        <v>2453.31</v>
      </c>
      <c r="AN4" s="6">
        <f t="shared" si="2"/>
        <v>324.4699999999998</v>
      </c>
      <c r="AO4" s="6">
        <f t="shared" si="3"/>
        <v>2291.0749999999998</v>
      </c>
      <c r="AQ4">
        <v>490</v>
      </c>
      <c r="AR4">
        <v>1985</v>
      </c>
      <c r="AS4">
        <v>2220</v>
      </c>
      <c r="AT4" s="6">
        <f>IF(Table111[[#This Row],[NEW Rmax]]="","",Table111[[#This Row],[NEW Rmax]]-Table111[[#This Row],[NEW Rmin]])</f>
        <v>235</v>
      </c>
    </row>
    <row r="5" spans="1:46">
      <c r="A5">
        <v>1</v>
      </c>
      <c r="B5" t="s">
        <v>18</v>
      </c>
      <c r="C5">
        <v>85</v>
      </c>
      <c r="D5">
        <v>36</v>
      </c>
      <c r="E5">
        <v>54</v>
      </c>
      <c r="G5">
        <v>90</v>
      </c>
      <c r="H5">
        <v>1.3</v>
      </c>
      <c r="I5">
        <v>0</v>
      </c>
      <c r="J5">
        <v>0.3</v>
      </c>
      <c r="K5" s="6"/>
      <c r="L5" s="6">
        <f t="shared" si="4"/>
        <v>5</v>
      </c>
      <c r="M5" s="6"/>
      <c r="N5" t="s">
        <v>19</v>
      </c>
      <c r="O5">
        <v>887.65</v>
      </c>
      <c r="P5">
        <v>2787.15</v>
      </c>
      <c r="Q5">
        <f>Table111[[#This Row],[max]]-Table111[[#This Row],[BENT  min]]</f>
        <v>1899.5</v>
      </c>
      <c r="R5" s="4">
        <f>VLOOKUP(Table111[[#This Row],[finger]],fingerMaxMin[],3)-Table111[[#This Row],[max]]</f>
        <v>291.84999999999991</v>
      </c>
      <c r="S5" s="7">
        <f t="shared" si="0"/>
        <v>47.779631822585856</v>
      </c>
      <c r="T5" s="7">
        <f t="shared" si="1"/>
        <v>150.02422219829907</v>
      </c>
      <c r="U5" s="28">
        <f>Table111[[#This Row],[scaled max]]-Table111[[#This Row],[scaled min]]</f>
        <v>102.24459037571322</v>
      </c>
      <c r="V5" s="28">
        <f>(VLOOKUP(Table111[[#This Row],[finger]],fingerMaxMin[],3)/scale)-S5</f>
        <v>117.95403165033912</v>
      </c>
      <c r="W5" s="8">
        <f t="shared" si="5"/>
        <v>0.74056575834889149</v>
      </c>
      <c r="X5" s="8">
        <f t="shared" si="6"/>
        <v>0.49963383693105234</v>
      </c>
      <c r="Y5" s="6"/>
      <c r="Z5">
        <f t="shared" si="7"/>
        <v>0.67198389680194803</v>
      </c>
      <c r="AA5">
        <f t="shared" si="8"/>
        <v>-0.86623670494475968</v>
      </c>
      <c r="AB5" s="6"/>
      <c r="AC5" s="6">
        <f t="shared" si="9"/>
        <v>0.31847945033457115</v>
      </c>
      <c r="AD5" s="6"/>
      <c r="AE5" t="s">
        <v>19</v>
      </c>
      <c r="AF5">
        <v>1082.95</v>
      </c>
      <c r="AG5">
        <v>2088.94</v>
      </c>
      <c r="AH5" s="6">
        <f>Table111[[#This Row],[Smax]]-Table111[[#This Row],[Smin]]</f>
        <v>1005.99</v>
      </c>
      <c r="AI5" s="6">
        <f>AVERAGE(Table111[[#This Row],[Smin]:[Smax]])</f>
        <v>1585.9450000000002</v>
      </c>
      <c r="AJ5" s="6"/>
      <c r="AK5" s="6" t="s">
        <v>19</v>
      </c>
      <c r="AL5" s="6">
        <v>2049.21</v>
      </c>
      <c r="AM5" s="6">
        <v>2268.85</v>
      </c>
      <c r="AN5" s="6">
        <f t="shared" si="2"/>
        <v>219.63999999999987</v>
      </c>
      <c r="AO5" s="6">
        <f t="shared" si="3"/>
        <v>2159.0299999999997</v>
      </c>
      <c r="AQ5">
        <v>700</v>
      </c>
      <c r="AR5">
        <v>1980</v>
      </c>
      <c r="AS5">
        <v>2320</v>
      </c>
      <c r="AT5" s="6">
        <f>IF(Table111[[#This Row],[NEW Rmax]]="","",Table111[[#This Row],[NEW Rmax]]-Table111[[#This Row],[NEW Rmin]])</f>
        <v>340</v>
      </c>
    </row>
    <row r="6" spans="1:46">
      <c r="A6">
        <v>1</v>
      </c>
      <c r="B6" t="s">
        <v>20</v>
      </c>
      <c r="C6">
        <v>69.900000000000006</v>
      </c>
      <c r="D6">
        <v>50</v>
      </c>
      <c r="E6">
        <v>42</v>
      </c>
      <c r="G6">
        <v>92</v>
      </c>
      <c r="H6">
        <v>1.3</v>
      </c>
      <c r="I6">
        <v>17</v>
      </c>
      <c r="J6">
        <v>0.5</v>
      </c>
      <c r="K6" s="6"/>
      <c r="L6" s="6">
        <f t="shared" si="4"/>
        <v>22.099999999999994</v>
      </c>
      <c r="M6" s="6"/>
      <c r="N6" t="s">
        <v>21</v>
      </c>
      <c r="O6">
        <v>990.18</v>
      </c>
      <c r="P6">
        <v>2840.48</v>
      </c>
      <c r="Q6">
        <f>Table111[[#This Row],[max]]-Table111[[#This Row],[BENT  min]]</f>
        <v>1850.3000000000002</v>
      </c>
      <c r="R6" s="4">
        <f>VLOOKUP(Table111[[#This Row],[finger]],fingerMaxMin[],3)-Table111[[#This Row],[max]]</f>
        <v>238.51999999999998</v>
      </c>
      <c r="S6" s="7">
        <f t="shared" si="0"/>
        <v>53.298525137259119</v>
      </c>
      <c r="T6" s="7">
        <f t="shared" si="1"/>
        <v>152.89482183227474</v>
      </c>
      <c r="U6" s="28">
        <f>Table111[[#This Row],[scaled max]]-Table111[[#This Row],[scaled min]]</f>
        <v>99.596296695015624</v>
      </c>
      <c r="V6" s="28">
        <f>(VLOOKUP(Table111[[#This Row],[finger]],fingerMaxMin[],3)/scale)-S6</f>
        <v>112.43513833566585</v>
      </c>
      <c r="W6" s="8">
        <f t="shared" si="5"/>
        <v>0.8017602603832098</v>
      </c>
      <c r="X6" s="8">
        <f t="shared" si="6"/>
        <v>0.45562535931310744</v>
      </c>
      <c r="Y6" s="6"/>
      <c r="Z6">
        <f t="shared" si="7"/>
        <v>0.59764578545343017</v>
      </c>
      <c r="AA6">
        <f t="shared" si="8"/>
        <v>-0.89017163061445725</v>
      </c>
      <c r="AB6" s="6"/>
      <c r="AC6" s="6">
        <f t="shared" si="9"/>
        <v>0.34859601194164364</v>
      </c>
      <c r="AD6" s="6"/>
      <c r="AE6" t="s">
        <v>21</v>
      </c>
      <c r="AF6">
        <v>1039.3900000000001</v>
      </c>
      <c r="AG6">
        <v>1939.34</v>
      </c>
      <c r="AH6" s="6">
        <f>Table111[[#This Row],[Smax]]-Table111[[#This Row],[Smin]]</f>
        <v>899.94999999999982</v>
      </c>
      <c r="AI6" s="6">
        <f>AVERAGE(Table111[[#This Row],[Smin]:[Smax]])</f>
        <v>1489.365</v>
      </c>
      <c r="AJ6" s="6"/>
      <c r="AK6" s="6" t="s">
        <v>21</v>
      </c>
      <c r="AL6" s="6">
        <v>2223.44</v>
      </c>
      <c r="AM6" s="6">
        <v>2508.6</v>
      </c>
      <c r="AN6" s="6">
        <f t="shared" si="2"/>
        <v>285.15999999999985</v>
      </c>
      <c r="AO6" s="6">
        <f t="shared" si="3"/>
        <v>2366.02</v>
      </c>
      <c r="AQ6">
        <v>740</v>
      </c>
      <c r="AR6">
        <v>2000</v>
      </c>
      <c r="AS6">
        <v>2390</v>
      </c>
      <c r="AT6" s="6">
        <f>IF(Table111[[#This Row],[NEW Rmax]]="","",Table111[[#This Row],[NEW Rmax]]-Table111[[#This Row],[NEW Rmin]])</f>
        <v>390</v>
      </c>
    </row>
    <row r="7" spans="1:46">
      <c r="A7">
        <v>1</v>
      </c>
      <c r="B7" t="s">
        <v>122</v>
      </c>
      <c r="C7">
        <v>75.099999999999994</v>
      </c>
      <c r="D7">
        <v>51</v>
      </c>
      <c r="E7">
        <v>46</v>
      </c>
      <c r="G7">
        <v>97</v>
      </c>
      <c r="H7">
        <v>1.1000000000000001</v>
      </c>
      <c r="I7">
        <v>0</v>
      </c>
      <c r="J7">
        <v>0.6</v>
      </c>
      <c r="K7" s="6"/>
      <c r="L7" s="6">
        <f>ABS(C7-G7)</f>
        <v>21.900000000000006</v>
      </c>
      <c r="M7" s="6"/>
      <c r="N7" s="6"/>
      <c r="O7" s="4"/>
      <c r="P7" s="4"/>
      <c r="R7" s="4"/>
      <c r="S7" s="7"/>
      <c r="T7" s="7"/>
      <c r="U7" s="28"/>
      <c r="V7" s="28"/>
      <c r="W7" s="8"/>
      <c r="X7" s="8"/>
      <c r="Y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Q7">
        <v>600</v>
      </c>
      <c r="AR7">
        <v>1960</v>
      </c>
      <c r="AS7">
        <v>2230</v>
      </c>
      <c r="AT7" s="6">
        <f>IF(Table111[[#This Row],[NEW Rmax]]="","",Table111[[#This Row],[NEW Rmax]]-Table111[[#This Row],[NEW Rmin]])</f>
        <v>270</v>
      </c>
    </row>
    <row r="8" spans="1:46">
      <c r="A8">
        <v>1</v>
      </c>
      <c r="B8" t="s">
        <v>22</v>
      </c>
      <c r="C8">
        <v>72.099999999999994</v>
      </c>
      <c r="D8">
        <v>43</v>
      </c>
      <c r="E8">
        <v>38</v>
      </c>
      <c r="G8">
        <v>81</v>
      </c>
      <c r="H8">
        <v>1.1000000000000001</v>
      </c>
      <c r="I8">
        <v>0</v>
      </c>
      <c r="J8">
        <v>0.6</v>
      </c>
      <c r="K8" s="6"/>
      <c r="L8" s="6">
        <f t="shared" si="4"/>
        <v>8.9000000000000057</v>
      </c>
      <c r="M8" s="6"/>
      <c r="N8" t="s">
        <v>23</v>
      </c>
      <c r="O8">
        <v>950.9</v>
      </c>
      <c r="P8">
        <v>2855.58</v>
      </c>
      <c r="Q8">
        <f>Table111[[#This Row],[max]]-Table111[[#This Row],[BENT  min]]</f>
        <v>1904.6799999999998</v>
      </c>
      <c r="R8" s="4">
        <f>VLOOKUP(Table111[[#This Row],[finger]],fingerMaxMin[],3)-Table111[[#This Row],[max]]</f>
        <v>223.42000000000007</v>
      </c>
      <c r="S8" s="7">
        <f t="shared" si="0"/>
        <v>51.184196361287547</v>
      </c>
      <c r="T8" s="7">
        <f t="shared" si="1"/>
        <v>153.70761115297665</v>
      </c>
      <c r="U8" s="28">
        <f>Table111[[#This Row],[scaled max]]-Table111[[#This Row],[scaled min]]</f>
        <v>102.52341479168911</v>
      </c>
      <c r="V8" s="28">
        <f>(VLOOKUP(Table111[[#This Row],[finger]],fingerMaxMin[],3)/scale)-S8</f>
        <v>114.54946711163743</v>
      </c>
      <c r="W8" s="8">
        <f t="shared" si="5"/>
        <v>0.77916510195980926</v>
      </c>
      <c r="X8" s="8">
        <f t="shared" si="6"/>
        <v>0.44295209794530555</v>
      </c>
      <c r="Y8" s="6"/>
      <c r="Z8">
        <f t="shared" si="7"/>
        <v>0.62681874883251543</v>
      </c>
      <c r="AA8">
        <f t="shared" si="8"/>
        <v>-0.89654527990830024</v>
      </c>
      <c r="AB8" s="6"/>
      <c r="AC8" s="6">
        <f t="shared" si="9"/>
        <v>0.3329971494407441</v>
      </c>
      <c r="AD8" s="6"/>
      <c r="AE8" t="s">
        <v>23</v>
      </c>
      <c r="AF8">
        <v>1009.13</v>
      </c>
      <c r="AG8">
        <v>2243.1999999999998</v>
      </c>
      <c r="AH8" s="6">
        <f>Table111[[#This Row],[Smax]]-Table111[[#This Row],[Smin]]</f>
        <v>1234.0699999999997</v>
      </c>
      <c r="AI8" s="6">
        <f>AVERAGE(Table111[[#This Row],[Smin]:[Smax]])</f>
        <v>1626.165</v>
      </c>
      <c r="AJ8" s="6"/>
      <c r="AK8" s="6" t="s">
        <v>23</v>
      </c>
      <c r="AL8" s="6">
        <v>2038.58</v>
      </c>
      <c r="AM8" s="6">
        <v>2432.29</v>
      </c>
      <c r="AN8" s="6">
        <f t="shared" si="2"/>
        <v>393.71000000000004</v>
      </c>
      <c r="AO8" s="6">
        <f t="shared" si="3"/>
        <v>2235.4349999999999</v>
      </c>
      <c r="AQ8">
        <v>530</v>
      </c>
      <c r="AR8">
        <v>1960</v>
      </c>
      <c r="AS8">
        <v>2250</v>
      </c>
      <c r="AT8" s="6">
        <f>IF(Table111[[#This Row],[NEW Rmax]]="","",Table111[[#This Row],[NEW Rmax]]-Table111[[#This Row],[NEW Rmin]])</f>
        <v>290</v>
      </c>
    </row>
    <row r="9" spans="1:46">
      <c r="A9">
        <v>1</v>
      </c>
      <c r="B9" t="s">
        <v>90</v>
      </c>
      <c r="C9">
        <v>97.3</v>
      </c>
      <c r="D9">
        <v>50</v>
      </c>
      <c r="E9">
        <v>50</v>
      </c>
      <c r="G9">
        <v>100</v>
      </c>
      <c r="H9">
        <v>1.3</v>
      </c>
      <c r="I9">
        <v>0</v>
      </c>
      <c r="J9">
        <v>0.4</v>
      </c>
      <c r="K9" s="6"/>
      <c r="L9" s="6">
        <f t="shared" si="4"/>
        <v>2.7000000000000028</v>
      </c>
      <c r="M9" s="6"/>
      <c r="N9" t="s">
        <v>88</v>
      </c>
      <c r="O9">
        <v>1125.56</v>
      </c>
      <c r="P9">
        <v>2567.4499999999998</v>
      </c>
      <c r="Q9">
        <f>Table111[[#This Row],[max]]-Table111[[#This Row],[BENT  min]]</f>
        <v>1441.8899999999999</v>
      </c>
      <c r="R9" s="4">
        <f>VLOOKUP(Table111[[#This Row],[finger]],fingerMaxMin[],3)-Table111[[#This Row],[max]]</f>
        <v>511.55000000000018</v>
      </c>
      <c r="S9" s="7">
        <f t="shared" si="0"/>
        <v>60.585638927764023</v>
      </c>
      <c r="T9" s="7">
        <f t="shared" si="1"/>
        <v>138.19840671762299</v>
      </c>
      <c r="U9" s="28">
        <f>Table111[[#This Row],[scaled max]]-Table111[[#This Row],[scaled min]]</f>
        <v>77.612767789858964</v>
      </c>
      <c r="V9" s="28">
        <f>(VLOOKUP(Table111[[#This Row],[finger]],fingerMaxMin[],3)/scale)-S9</f>
        <v>105.14802454516095</v>
      </c>
      <c r="W9" s="8">
        <f t="shared" si="5"/>
        <v>0.87109073971332573</v>
      </c>
      <c r="X9" s="8">
        <f t="shared" si="6"/>
        <v>0.66655320020577769</v>
      </c>
      <c r="Y9" s="6"/>
      <c r="Z9">
        <f t="shared" si="7"/>
        <v>0.49112210618713853</v>
      </c>
      <c r="AA9">
        <f t="shared" si="8"/>
        <v>-0.74545746444410665</v>
      </c>
      <c r="AB9" s="6"/>
      <c r="AC9" s="6">
        <f t="shared" si="9"/>
        <v>0.43839607392549029</v>
      </c>
      <c r="AD9" s="6"/>
      <c r="AE9" t="s">
        <v>88</v>
      </c>
      <c r="AF9">
        <v>1398.42</v>
      </c>
      <c r="AG9">
        <v>2117.69</v>
      </c>
      <c r="AH9" s="6">
        <f>Table111[[#This Row],[Smax]]-Table111[[#This Row],[Smin]]</f>
        <v>719.27</v>
      </c>
      <c r="AI9" s="6">
        <f>AVERAGE(Table111[[#This Row],[Smin]:[Smax]])</f>
        <v>1758.0550000000001</v>
      </c>
      <c r="AJ9" s="6"/>
      <c r="AK9" s="6" t="s">
        <v>88</v>
      </c>
      <c r="AL9" s="6">
        <v>2097.56</v>
      </c>
      <c r="AM9" s="6">
        <v>2454.6999999999998</v>
      </c>
      <c r="AN9" s="6">
        <f t="shared" si="2"/>
        <v>357.13999999999987</v>
      </c>
      <c r="AO9" s="6">
        <f t="shared" si="3"/>
        <v>2276.13</v>
      </c>
      <c r="AT9" s="6"/>
    </row>
    <row r="10" spans="1:46">
      <c r="A10">
        <v>1</v>
      </c>
      <c r="B10" t="s">
        <v>24</v>
      </c>
      <c r="C10">
        <v>74</v>
      </c>
      <c r="D10">
        <v>42</v>
      </c>
      <c r="E10">
        <v>36</v>
      </c>
      <c r="G10">
        <v>78</v>
      </c>
      <c r="H10">
        <v>1.5</v>
      </c>
      <c r="I10">
        <v>0</v>
      </c>
      <c r="J10">
        <v>0.4</v>
      </c>
      <c r="K10" s="6"/>
      <c r="L10" s="6">
        <f t="shared" si="4"/>
        <v>4</v>
      </c>
      <c r="M10" s="6"/>
      <c r="N10" t="s">
        <v>25</v>
      </c>
      <c r="O10">
        <v>966.84</v>
      </c>
      <c r="P10">
        <v>2742.49</v>
      </c>
      <c r="Q10">
        <f>Table111[[#This Row],[max]]-Table111[[#This Row],[BENT  min]]</f>
        <v>1775.6499999999996</v>
      </c>
      <c r="R10" s="4">
        <f>VLOOKUP(Table111[[#This Row],[finger]],fingerMaxMin[],3)-Table111[[#This Row],[max]]</f>
        <v>336.51000000000022</v>
      </c>
      <c r="S10" s="7">
        <f t="shared" si="0"/>
        <v>52.042200452147704</v>
      </c>
      <c r="T10" s="7">
        <f t="shared" si="1"/>
        <v>147.62030358488533</v>
      </c>
      <c r="U10" s="28">
        <f>Table111[[#This Row],[scaled max]]-Table111[[#This Row],[scaled min]]</f>
        <v>95.578103132737624</v>
      </c>
      <c r="V10" s="28">
        <f>(VLOOKUP(Table111[[#This Row],[finger]],fingerMaxMin[],3)/scale)-S10</f>
        <v>113.69146302077726</v>
      </c>
      <c r="W10" s="8">
        <f t="shared" si="5"/>
        <v>0.78846399717809557</v>
      </c>
      <c r="X10" s="8">
        <f t="shared" si="6"/>
        <v>0.53552756157830184</v>
      </c>
      <c r="Y10" s="6"/>
      <c r="Z10">
        <f t="shared" si="7"/>
        <v>0.61508090943707561</v>
      </c>
      <c r="AA10">
        <f t="shared" si="8"/>
        <v>-0.84451775042920096</v>
      </c>
      <c r="AB10" s="6"/>
      <c r="AC10" s="6">
        <f t="shared" si="9"/>
        <v>0.35254093907361561</v>
      </c>
      <c r="AD10" s="6"/>
      <c r="AE10" t="s">
        <v>25</v>
      </c>
      <c r="AF10">
        <v>895.52</v>
      </c>
      <c r="AG10">
        <v>2165.84</v>
      </c>
      <c r="AH10" s="6">
        <f>Table111[[#This Row],[Smax]]-Table111[[#This Row],[Smin]]</f>
        <v>1270.3200000000002</v>
      </c>
      <c r="AI10" s="6">
        <f>AVERAGE(Table111[[#This Row],[Smin]:[Smax]])</f>
        <v>1530.68</v>
      </c>
      <c r="AJ10" s="6"/>
      <c r="AK10" s="6" t="s">
        <v>25</v>
      </c>
      <c r="AL10" s="6">
        <v>2200.5700000000002</v>
      </c>
      <c r="AM10" s="6">
        <v>2491.83</v>
      </c>
      <c r="AN10" s="6">
        <f t="shared" si="2"/>
        <v>291.25999999999976</v>
      </c>
      <c r="AO10" s="6">
        <f t="shared" si="3"/>
        <v>2346.1999999999998</v>
      </c>
      <c r="AT10" s="6"/>
    </row>
    <row r="11" spans="1:46">
      <c r="A11">
        <v>1</v>
      </c>
      <c r="B11" t="s">
        <v>101</v>
      </c>
      <c r="C11">
        <v>69.7</v>
      </c>
      <c r="D11">
        <v>45</v>
      </c>
      <c r="E11">
        <v>43</v>
      </c>
      <c r="G11">
        <v>88</v>
      </c>
      <c r="H11">
        <v>1.2</v>
      </c>
      <c r="I11">
        <v>0</v>
      </c>
      <c r="J11">
        <v>0.5</v>
      </c>
      <c r="K11" s="6"/>
      <c r="L11" s="6">
        <f t="shared" si="4"/>
        <v>18.299999999999997</v>
      </c>
      <c r="M11" s="6"/>
      <c r="N11" t="s">
        <v>102</v>
      </c>
      <c r="O11">
        <v>886.54</v>
      </c>
      <c r="P11">
        <v>2716.4</v>
      </c>
      <c r="Q11">
        <f>Table111[[#This Row],[max]]-Table111[[#This Row],[BENT  min]]</f>
        <v>1829.8600000000001</v>
      </c>
      <c r="R11" s="4">
        <f>VLOOKUP(Table111[[#This Row],[finger]],fingerMaxMin[],3)-Table111[[#This Row],[max]]</f>
        <v>362.59999999999991</v>
      </c>
      <c r="S11" s="7">
        <f t="shared" si="0"/>
        <v>47.719883733448164</v>
      </c>
      <c r="T11" s="7">
        <f t="shared" si="1"/>
        <v>146.21595435461299</v>
      </c>
      <c r="U11" s="28">
        <f>Table111[[#This Row],[scaled max]]-Table111[[#This Row],[scaled min]]</f>
        <v>98.496070621164819</v>
      </c>
      <c r="V11" s="28">
        <f>(VLOOKUP(Table111[[#This Row],[finger]],fingerMaxMin[],3)/scale)-S11</f>
        <v>118.0137797394768</v>
      </c>
      <c r="W11" s="8">
        <f t="shared" si="5"/>
        <v>0.73986461042079232</v>
      </c>
      <c r="X11" s="8">
        <f t="shared" si="6"/>
        <v>0.55606420130998224</v>
      </c>
      <c r="Y11" s="6"/>
      <c r="Z11">
        <f t="shared" si="7"/>
        <v>0.67275579391551077</v>
      </c>
      <c r="AA11">
        <f t="shared" si="8"/>
        <v>-0.83113934091793029</v>
      </c>
      <c r="AB11" s="6"/>
      <c r="AC11" s="6">
        <f t="shared" si="9"/>
        <v>0.32636577823590041</v>
      </c>
      <c r="AD11" s="6"/>
      <c r="AE11" t="s">
        <v>102</v>
      </c>
      <c r="AF11">
        <v>1828.49</v>
      </c>
      <c r="AG11">
        <v>2074.5500000000002</v>
      </c>
      <c r="AH11" s="6">
        <f>Table111[[#This Row],[Smax]]-Table111[[#This Row],[Smin]]</f>
        <v>246.06000000000017</v>
      </c>
      <c r="AI11" s="6">
        <f>AVERAGE(Table111[[#This Row],[Smin]:[Smax]])</f>
        <v>1951.52</v>
      </c>
      <c r="AJ11" s="6"/>
      <c r="AK11" s="6" t="s">
        <v>102</v>
      </c>
      <c r="AL11" s="6">
        <v>2176.7199999999998</v>
      </c>
      <c r="AM11" s="6">
        <v>2278.5</v>
      </c>
      <c r="AN11" s="6">
        <f t="shared" si="2"/>
        <v>101.7800000000002</v>
      </c>
      <c r="AO11" s="6">
        <f t="shared" si="3"/>
        <v>2227.6099999999997</v>
      </c>
      <c r="AQ11">
        <v>800</v>
      </c>
      <c r="AR11">
        <v>2000</v>
      </c>
      <c r="AS11">
        <v>2120</v>
      </c>
      <c r="AT11" s="6">
        <f>IF(Table111[[#This Row],[NEW Rmax]]="","",Table111[[#This Row],[NEW Rmax]]-Table111[[#This Row],[NEW Rmin]])</f>
        <v>120</v>
      </c>
    </row>
    <row r="12" spans="1:46">
      <c r="A12">
        <v>1</v>
      </c>
      <c r="B12" t="s">
        <v>26</v>
      </c>
      <c r="C12">
        <v>78.2</v>
      </c>
      <c r="D12">
        <v>49</v>
      </c>
      <c r="E12">
        <v>50</v>
      </c>
      <c r="G12">
        <v>99</v>
      </c>
      <c r="H12">
        <v>1.5</v>
      </c>
      <c r="I12">
        <v>0</v>
      </c>
      <c r="J12">
        <v>0.5</v>
      </c>
      <c r="K12" s="6"/>
      <c r="L12" s="6">
        <f t="shared" si="4"/>
        <v>20.799999999999997</v>
      </c>
      <c r="M12" s="6"/>
      <c r="N12" t="s">
        <v>27</v>
      </c>
      <c r="O12">
        <v>795.47</v>
      </c>
      <c r="P12">
        <v>2718.85</v>
      </c>
      <c r="Q12">
        <f>Table111[[#This Row],[max]]-Table111[[#This Row],[BENT  min]]</f>
        <v>1923.3799999999999</v>
      </c>
      <c r="R12" s="4">
        <f>VLOOKUP(Table111[[#This Row],[finger]],fingerMaxMin[],3)-Table111[[#This Row],[max]]</f>
        <v>360.15000000000009</v>
      </c>
      <c r="S12" s="7">
        <f t="shared" si="0"/>
        <v>42.817849068791048</v>
      </c>
      <c r="T12" s="7">
        <f t="shared" si="1"/>
        <v>146.34783076757455</v>
      </c>
      <c r="U12" s="28">
        <f>Table111[[#This Row],[scaled max]]-Table111[[#This Row],[scaled min]]</f>
        <v>103.5299816987835</v>
      </c>
      <c r="V12" s="28">
        <f>(VLOOKUP(Table111[[#This Row],[finger]],fingerMaxMin[],3)/scale)-S12</f>
        <v>122.91581440413393</v>
      </c>
      <c r="W12" s="8">
        <f t="shared" si="5"/>
        <v>0.67966984649851225</v>
      </c>
      <c r="X12" s="8">
        <f t="shared" si="6"/>
        <v>0.55414971525020262</v>
      </c>
      <c r="Y12" s="6"/>
      <c r="Z12">
        <f t="shared" si="7"/>
        <v>0.73351816593775565</v>
      </c>
      <c r="AA12">
        <f t="shared" si="8"/>
        <v>-0.83241701874007801</v>
      </c>
      <c r="AB12" s="6"/>
      <c r="AC12" s="6">
        <f t="shared" si="9"/>
        <v>0.29257590525405963</v>
      </c>
      <c r="AD12" s="6"/>
      <c r="AE12" t="s">
        <v>27</v>
      </c>
      <c r="AF12">
        <v>1435.89</v>
      </c>
      <c r="AG12">
        <v>2195.4</v>
      </c>
      <c r="AH12" s="6">
        <f>Table111[[#This Row],[Smax]]-Table111[[#This Row],[Smin]]</f>
        <v>759.51</v>
      </c>
      <c r="AI12" s="6">
        <f>AVERAGE(Table111[[#This Row],[Smin]:[Smax]])</f>
        <v>1815.645</v>
      </c>
      <c r="AJ12" s="6"/>
      <c r="AK12" s="6" t="s">
        <v>27</v>
      </c>
      <c r="AL12" s="6">
        <v>2128.25</v>
      </c>
      <c r="AM12" s="6">
        <v>2535.14</v>
      </c>
      <c r="AN12" s="6">
        <f t="shared" si="2"/>
        <v>406.88999999999987</v>
      </c>
      <c r="AO12" s="6">
        <f t="shared" si="3"/>
        <v>2331.6949999999997</v>
      </c>
      <c r="AT12" s="6"/>
    </row>
    <row r="13" spans="1:46">
      <c r="A13">
        <v>1</v>
      </c>
      <c r="B13" t="s">
        <v>28</v>
      </c>
      <c r="C13">
        <v>75.7</v>
      </c>
      <c r="D13">
        <v>51</v>
      </c>
      <c r="E13">
        <v>38</v>
      </c>
      <c r="G13">
        <v>89</v>
      </c>
      <c r="H13">
        <v>2.9000000000000021</v>
      </c>
      <c r="I13">
        <v>-25</v>
      </c>
      <c r="J13">
        <v>0.4</v>
      </c>
      <c r="K13" s="6"/>
      <c r="L13" s="6">
        <f t="shared" si="4"/>
        <v>13.299999999999997</v>
      </c>
      <c r="M13" s="6"/>
      <c r="N13" t="s">
        <v>29</v>
      </c>
      <c r="O13">
        <v>937.47</v>
      </c>
      <c r="P13">
        <v>2866.74</v>
      </c>
      <c r="Q13">
        <f>Table111[[#This Row],[max]]-Table111[[#This Row],[BENT  min]]</f>
        <v>1929.2699999999998</v>
      </c>
      <c r="R13" s="4">
        <f>VLOOKUP(Table111[[#This Row],[finger]],fingerMaxMin[],3)-Table111[[#This Row],[max]]</f>
        <v>212.26000000000022</v>
      </c>
      <c r="S13" s="7">
        <f t="shared" si="0"/>
        <v>50.461298309828834</v>
      </c>
      <c r="T13" s="7">
        <f t="shared" si="1"/>
        <v>154.30832167079342</v>
      </c>
      <c r="U13" s="28">
        <f>Table111[[#This Row],[scaled max]]-Table111[[#This Row],[scaled min]]</f>
        <v>103.84702336096458</v>
      </c>
      <c r="V13" s="28">
        <f>(VLOOKUP(Table111[[#This Row],[finger]],fingerMaxMin[],3)/scale)-S13</f>
        <v>115.27236516309614</v>
      </c>
      <c r="W13" s="8">
        <f t="shared" si="5"/>
        <v>0.77119475441234009</v>
      </c>
      <c r="X13" s="8">
        <f t="shared" si="6"/>
        <v>0.43352820708769929</v>
      </c>
      <c r="Y13" s="6"/>
      <c r="Z13">
        <f t="shared" si="7"/>
        <v>0.63659928586740544</v>
      </c>
      <c r="AA13">
        <f t="shared" si="8"/>
        <v>-0.90113999670380007</v>
      </c>
      <c r="AB13" s="6"/>
      <c r="AC13" s="6">
        <f t="shared" si="9"/>
        <v>0.32701605307771198</v>
      </c>
      <c r="AD13" s="6"/>
      <c r="AE13" t="s">
        <v>29</v>
      </c>
      <c r="AF13">
        <v>1447.88</v>
      </c>
      <c r="AG13">
        <v>2244.0300000000002</v>
      </c>
      <c r="AH13" s="6">
        <f>Table111[[#This Row],[Smax]]-Table111[[#This Row],[Smin]]</f>
        <v>796.15000000000009</v>
      </c>
      <c r="AI13" s="6">
        <f>AVERAGE(Table111[[#This Row],[Smin]:[Smax]])</f>
        <v>1845.9550000000002</v>
      </c>
      <c r="AJ13" s="6"/>
      <c r="AK13" s="6" t="s">
        <v>29</v>
      </c>
      <c r="AL13" s="6">
        <v>2091.63</v>
      </c>
      <c r="AM13" s="6">
        <v>2423.04</v>
      </c>
      <c r="AN13" s="6">
        <f t="shared" si="2"/>
        <v>331.40999999999985</v>
      </c>
      <c r="AO13" s="6">
        <f t="shared" si="3"/>
        <v>2257.335</v>
      </c>
      <c r="AQ13">
        <v>670</v>
      </c>
      <c r="AR13">
        <v>1990</v>
      </c>
      <c r="AS13">
        <v>2160</v>
      </c>
      <c r="AT13" s="6">
        <f>IF(Table111[[#This Row],[NEW Rmax]]="","",Table111[[#This Row],[NEW Rmax]]-Table111[[#This Row],[NEW Rmin]])</f>
        <v>170</v>
      </c>
    </row>
    <row r="14" spans="1:46">
      <c r="A14">
        <v>1</v>
      </c>
      <c r="B14" t="s">
        <v>30</v>
      </c>
      <c r="C14">
        <v>75.2</v>
      </c>
      <c r="D14">
        <v>48</v>
      </c>
      <c r="E14">
        <v>39</v>
      </c>
      <c r="G14">
        <v>87</v>
      </c>
      <c r="H14">
        <v>1.1000000000000001</v>
      </c>
      <c r="I14">
        <v>0</v>
      </c>
      <c r="J14">
        <v>0.5</v>
      </c>
      <c r="K14" s="6"/>
      <c r="L14" s="6">
        <f t="shared" si="4"/>
        <v>11.799999999999997</v>
      </c>
      <c r="M14" s="6"/>
      <c r="N14" t="s">
        <v>31</v>
      </c>
      <c r="O14">
        <v>888.23</v>
      </c>
      <c r="P14">
        <v>2757.45</v>
      </c>
      <c r="Q14">
        <f>Table111[[#This Row],[max]]-Table111[[#This Row],[BENT  min]]</f>
        <v>1869.2199999999998</v>
      </c>
      <c r="R14" s="4">
        <f>VLOOKUP(Table111[[#This Row],[finger]],fingerMaxMin[],3)-Table111[[#This Row],[max]]</f>
        <v>321.55000000000018</v>
      </c>
      <c r="S14" s="7">
        <f t="shared" si="0"/>
        <v>47.81085154483798</v>
      </c>
      <c r="T14" s="7">
        <f t="shared" si="1"/>
        <v>148.42555711056087</v>
      </c>
      <c r="U14" s="28">
        <f>Table111[[#This Row],[scaled max]]-Table111[[#This Row],[scaled min]]</f>
        <v>100.61470556572289</v>
      </c>
      <c r="V14" s="28">
        <f>(VLOOKUP(Table111[[#This Row],[finger]],fingerMaxMin[],3)/scale)-S14</f>
        <v>117.92281192808699</v>
      </c>
      <c r="W14" s="8">
        <f t="shared" si="5"/>
        <v>0.7409318036456507</v>
      </c>
      <c r="X14" s="8">
        <f t="shared" si="6"/>
        <v>0.52360593617860429</v>
      </c>
      <c r="Y14" s="6"/>
      <c r="Z14">
        <f t="shared" si="7"/>
        <v>0.67158027245177698</v>
      </c>
      <c r="AA14">
        <f t="shared" si="8"/>
        <v>-0.85196057631707778</v>
      </c>
      <c r="AB14" s="6"/>
      <c r="AC14" s="6">
        <f t="shared" si="9"/>
        <v>0.32212007470670367</v>
      </c>
      <c r="AD14" s="6"/>
      <c r="AE14" t="s">
        <v>31</v>
      </c>
      <c r="AF14">
        <v>983.94</v>
      </c>
      <c r="AG14">
        <v>1951.91</v>
      </c>
      <c r="AH14" s="6">
        <f>Table111[[#This Row],[Smax]]-Table111[[#This Row],[Smin]]</f>
        <v>967.97</v>
      </c>
      <c r="AI14" s="6">
        <f>AVERAGE(Table111[[#This Row],[Smin]:[Smax]])</f>
        <v>1467.9250000000002</v>
      </c>
      <c r="AJ14" s="6"/>
      <c r="AK14" s="6" t="s">
        <v>31</v>
      </c>
      <c r="AL14" s="6">
        <v>2102.16</v>
      </c>
      <c r="AM14" s="6">
        <v>2307.23</v>
      </c>
      <c r="AN14" s="6">
        <f t="shared" si="2"/>
        <v>205.07000000000016</v>
      </c>
      <c r="AO14" s="6">
        <f t="shared" si="3"/>
        <v>2204.6949999999997</v>
      </c>
      <c r="AQ14">
        <v>680</v>
      </c>
      <c r="AR14">
        <v>1960</v>
      </c>
      <c r="AS14">
        <v>2170</v>
      </c>
      <c r="AT14" s="6">
        <f>IF(Table111[[#This Row],[NEW Rmax]]="","",Table111[[#This Row],[NEW Rmax]]-Table111[[#This Row],[NEW Rmin]])</f>
        <v>210</v>
      </c>
    </row>
    <row r="15" spans="1:46">
      <c r="A15">
        <v>1</v>
      </c>
      <c r="B15" t="s">
        <v>32</v>
      </c>
      <c r="C15">
        <v>76.3</v>
      </c>
      <c r="D15">
        <v>46</v>
      </c>
      <c r="E15">
        <v>33</v>
      </c>
      <c r="G15">
        <v>79</v>
      </c>
      <c r="H15">
        <v>1.1000000000000001</v>
      </c>
      <c r="I15">
        <v>0</v>
      </c>
      <c r="J15">
        <v>0.6</v>
      </c>
      <c r="K15" s="6"/>
      <c r="L15" s="6">
        <f t="shared" si="4"/>
        <v>2.7000000000000028</v>
      </c>
      <c r="M15" s="6"/>
      <c r="N15" t="s">
        <v>33</v>
      </c>
      <c r="O15">
        <v>884.7</v>
      </c>
      <c r="P15">
        <v>2708.95</v>
      </c>
      <c r="Q15">
        <f>Table111[[#This Row],[max]]-Table111[[#This Row],[BENT  min]]</f>
        <v>1824.2499999999998</v>
      </c>
      <c r="R15" s="4">
        <f>VLOOKUP(Table111[[#This Row],[finger]],fingerMaxMin[],3)-Table111[[#This Row],[max]]</f>
        <v>370.05000000000018</v>
      </c>
      <c r="S15" s="7">
        <f t="shared" si="0"/>
        <v>47.620841855958666</v>
      </c>
      <c r="T15" s="7">
        <f t="shared" si="1"/>
        <v>145.81494240499515</v>
      </c>
      <c r="U15" s="28">
        <f>Table111[[#This Row],[scaled max]]-Table111[[#This Row],[scaled min]]</f>
        <v>98.194100549036477</v>
      </c>
      <c r="V15" s="28">
        <f>(VLOOKUP(Table111[[#This Row],[finger]],fingerMaxMin[],3)/scale)-S15</f>
        <v>118.1128216169663</v>
      </c>
      <c r="W15" s="8">
        <f t="shared" si="5"/>
        <v>0.73870057533211708</v>
      </c>
      <c r="X15" s="8">
        <f t="shared" si="6"/>
        <v>0.56186766095188956</v>
      </c>
      <c r="Y15" s="6"/>
      <c r="Z15">
        <f t="shared" si="7"/>
        <v>0.67403372319491495</v>
      </c>
      <c r="AA15">
        <f t="shared" si="8"/>
        <v>-0.82722713421191185</v>
      </c>
      <c r="AB15" s="6"/>
      <c r="AC15" s="6">
        <f t="shared" si="9"/>
        <v>0.32658410085088324</v>
      </c>
      <c r="AD15" s="6"/>
      <c r="AE15" t="s">
        <v>33</v>
      </c>
      <c r="AF15">
        <v>1695.02</v>
      </c>
      <c r="AG15">
        <v>2106.15</v>
      </c>
      <c r="AH15" s="6">
        <f>Table111[[#This Row],[Smax]]-Table111[[#This Row],[Smin]]</f>
        <v>411.13000000000011</v>
      </c>
      <c r="AI15" s="6">
        <f>AVERAGE(Table111[[#This Row],[Smin]:[Smax]])</f>
        <v>1900.585</v>
      </c>
      <c r="AJ15" s="6"/>
      <c r="AK15" s="6" t="s">
        <v>33</v>
      </c>
      <c r="AL15" s="6">
        <v>2209.83</v>
      </c>
      <c r="AM15" s="6">
        <v>2409.08</v>
      </c>
      <c r="AN15" s="6">
        <f t="shared" si="2"/>
        <v>199.25</v>
      </c>
      <c r="AO15" s="6">
        <f t="shared" si="3"/>
        <v>2309.4549999999999</v>
      </c>
      <c r="AT15" s="6"/>
    </row>
    <row r="16" spans="1:46">
      <c r="A16">
        <v>1</v>
      </c>
      <c r="B16" t="s">
        <v>34</v>
      </c>
      <c r="C16">
        <v>68.3</v>
      </c>
      <c r="D16">
        <v>41</v>
      </c>
      <c r="E16">
        <v>38</v>
      </c>
      <c r="G16">
        <v>79</v>
      </c>
      <c r="H16">
        <v>1.8000000000000009</v>
      </c>
      <c r="I16">
        <v>0</v>
      </c>
      <c r="J16">
        <v>0.5</v>
      </c>
      <c r="K16" s="6"/>
      <c r="L16" s="6">
        <f t="shared" si="4"/>
        <v>10.700000000000003</v>
      </c>
      <c r="M16" s="6"/>
      <c r="N16" t="s">
        <v>35</v>
      </c>
      <c r="O16">
        <v>1019.99</v>
      </c>
      <c r="P16">
        <v>2379.67</v>
      </c>
      <c r="Q16">
        <f>Table111[[#This Row],[max]]-Table111[[#This Row],[BENT  min]]</f>
        <v>1359.68</v>
      </c>
      <c r="R16" s="4">
        <f>VLOOKUP(Table111[[#This Row],[finger]],fingerMaxMin[],3)-Table111[[#This Row],[max]]</f>
        <v>699.32999999999993</v>
      </c>
      <c r="S16" s="7">
        <f t="shared" si="0"/>
        <v>54.90311120680375</v>
      </c>
      <c r="T16" s="7">
        <f t="shared" si="1"/>
        <v>128.0907525029605</v>
      </c>
      <c r="U16" s="28">
        <f>Table111[[#This Row],[scaled max]]-Table111[[#This Row],[scaled min]]</f>
        <v>73.187641296156755</v>
      </c>
      <c r="V16" s="28">
        <f>(VLOOKUP(Table111[[#This Row],[finger]],fingerMaxMin[],3)/scale)-S16</f>
        <v>110.83055226612123</v>
      </c>
      <c r="W16" s="8">
        <f t="shared" si="5"/>
        <v>0.81818093946541004</v>
      </c>
      <c r="X16" s="8">
        <f t="shared" si="6"/>
        <v>0.78703460085155641</v>
      </c>
      <c r="Y16" s="6"/>
      <c r="Z16">
        <f t="shared" si="7"/>
        <v>0.57496082500940793</v>
      </c>
      <c r="AA16">
        <f t="shared" si="8"/>
        <v>-0.61690885636569637</v>
      </c>
      <c r="AB16" s="6"/>
      <c r="AC16" s="6">
        <f t="shared" si="9"/>
        <v>0.42862665831817015</v>
      </c>
      <c r="AD16" s="6"/>
      <c r="AE16" t="s">
        <v>35</v>
      </c>
      <c r="AF16">
        <v>1604.96</v>
      </c>
      <c r="AG16">
        <v>2144.3000000000002</v>
      </c>
      <c r="AH16" s="6">
        <f>Table111[[#This Row],[Smax]]-Table111[[#This Row],[Smin]]</f>
        <v>539.34000000000015</v>
      </c>
      <c r="AI16" s="6">
        <f>AVERAGE(Table111[[#This Row],[Smin]:[Smax]])</f>
        <v>1874.63</v>
      </c>
      <c r="AJ16" s="6"/>
      <c r="AK16" s="6" t="s">
        <v>35</v>
      </c>
      <c r="AL16" s="6">
        <v>2264.1999999999998</v>
      </c>
      <c r="AM16" s="6">
        <v>2409.52</v>
      </c>
      <c r="AN16" s="6">
        <f t="shared" si="2"/>
        <v>145.32000000000016</v>
      </c>
      <c r="AO16" s="6">
        <f t="shared" si="3"/>
        <v>2336.8599999999997</v>
      </c>
      <c r="AQ16">
        <v>840</v>
      </c>
      <c r="AR16">
        <v>1960</v>
      </c>
      <c r="AS16">
        <v>2170</v>
      </c>
      <c r="AT16" s="6">
        <f>IF(Table111[[#This Row],[NEW Rmax]]="","",Table111[[#This Row],[NEW Rmax]]-Table111[[#This Row],[NEW Rmin]])</f>
        <v>210</v>
      </c>
    </row>
    <row r="17" spans="1:47">
      <c r="A17">
        <v>1</v>
      </c>
      <c r="B17" t="s">
        <v>36</v>
      </c>
      <c r="C17">
        <v>78.599999999999994</v>
      </c>
      <c r="D17">
        <v>44</v>
      </c>
      <c r="E17">
        <v>51</v>
      </c>
      <c r="G17">
        <v>95</v>
      </c>
      <c r="H17">
        <v>2.3000000000000012</v>
      </c>
      <c r="I17">
        <v>0</v>
      </c>
      <c r="J17">
        <v>0.3</v>
      </c>
      <c r="K17" s="6"/>
      <c r="L17" s="6">
        <f t="shared" si="4"/>
        <v>16.400000000000006</v>
      </c>
      <c r="M17" s="6"/>
      <c r="N17" t="s">
        <v>37</v>
      </c>
      <c r="O17">
        <v>1001.06</v>
      </c>
      <c r="P17">
        <v>2908.32</v>
      </c>
      <c r="Q17">
        <f>Table111[[#This Row],[max]]-Table111[[#This Row],[BENT  min]]</f>
        <v>1907.2600000000002</v>
      </c>
      <c r="R17" s="4">
        <f>VLOOKUP(Table111[[#This Row],[finger]],fingerMaxMin[],3)-Table111[[#This Row],[max]]</f>
        <v>170.67999999999984</v>
      </c>
      <c r="S17" s="7">
        <f t="shared" si="0"/>
        <v>53.884164065023143</v>
      </c>
      <c r="T17" s="7">
        <f t="shared" si="1"/>
        <v>156.54645279362688</v>
      </c>
      <c r="U17" s="28">
        <f>Table111[[#This Row],[scaled max]]-Table111[[#This Row],[scaled min]]</f>
        <v>102.66228872860374</v>
      </c>
      <c r="V17" s="28">
        <f>(VLOOKUP(Table111[[#This Row],[finger]],fingerMaxMin[],3)/scale)-S17</f>
        <v>111.84949940790183</v>
      </c>
      <c r="W17" s="8">
        <f t="shared" si="5"/>
        <v>0.80782700552544995</v>
      </c>
      <c r="X17" s="8">
        <f t="shared" si="6"/>
        <v>0.39800542765049846</v>
      </c>
      <c r="Y17" s="6"/>
      <c r="Z17">
        <f t="shared" si="7"/>
        <v>0.58941965452789635</v>
      </c>
      <c r="AA17">
        <f t="shared" si="8"/>
        <v>-0.91738306042827267</v>
      </c>
      <c r="AB17" s="6"/>
      <c r="AC17" s="6">
        <f t="shared" si="9"/>
        <v>0.34420558948121249</v>
      </c>
      <c r="AD17" s="6"/>
      <c r="AE17" t="s">
        <v>37</v>
      </c>
      <c r="AF17">
        <v>1613.89</v>
      </c>
      <c r="AG17">
        <v>2159.92</v>
      </c>
      <c r="AH17" s="6">
        <f>Table111[[#This Row],[Smax]]-Table111[[#This Row],[Smin]]</f>
        <v>546.03</v>
      </c>
      <c r="AI17" s="6">
        <f>AVERAGE(Table111[[#This Row],[Smin]:[Smax]])</f>
        <v>1886.9050000000002</v>
      </c>
      <c r="AJ17" s="6"/>
      <c r="AK17" s="6" t="s">
        <v>37</v>
      </c>
      <c r="AL17" s="6">
        <v>2247.27</v>
      </c>
      <c r="AM17" s="6">
        <v>2461.8200000000002</v>
      </c>
      <c r="AN17" s="6">
        <f t="shared" si="2"/>
        <v>214.55000000000018</v>
      </c>
      <c r="AO17" s="6">
        <f t="shared" si="3"/>
        <v>2354.5450000000001</v>
      </c>
      <c r="AQ17">
        <v>700</v>
      </c>
      <c r="AR17">
        <v>1985</v>
      </c>
      <c r="AS17">
        <v>2250</v>
      </c>
      <c r="AT17" s="6">
        <f>IF(Table111[[#This Row],[NEW Rmax]]="","",Table111[[#This Row],[NEW Rmax]]-Table111[[#This Row],[NEW Rmin]])</f>
        <v>265</v>
      </c>
    </row>
    <row r="18" spans="1:47">
      <c r="A18">
        <v>1</v>
      </c>
      <c r="B18" t="s">
        <v>38</v>
      </c>
      <c r="C18">
        <v>93.7</v>
      </c>
      <c r="D18">
        <v>37</v>
      </c>
      <c r="E18">
        <v>44</v>
      </c>
      <c r="G18">
        <v>81</v>
      </c>
      <c r="H18">
        <v>1.1000000000000001</v>
      </c>
      <c r="I18">
        <v>0</v>
      </c>
      <c r="J18">
        <v>0.3</v>
      </c>
      <c r="K18" s="6"/>
      <c r="L18" s="6">
        <f t="shared" si="4"/>
        <v>12.700000000000003</v>
      </c>
      <c r="M18" s="6"/>
      <c r="N18" t="s">
        <v>39</v>
      </c>
      <c r="O18">
        <v>924.17</v>
      </c>
      <c r="P18">
        <v>2888.67</v>
      </c>
      <c r="Q18">
        <f>Table111[[#This Row],[max]]-Table111[[#This Row],[BENT  min]]</f>
        <v>1964.5</v>
      </c>
      <c r="R18" s="4">
        <f>VLOOKUP(Table111[[#This Row],[finger]],fingerMaxMin[],3)-Table111[[#This Row],[max]]</f>
        <v>190.32999999999993</v>
      </c>
      <c r="S18" s="7">
        <f t="shared" si="0"/>
        <v>49.745397782323174</v>
      </c>
      <c r="T18" s="7">
        <f t="shared" si="1"/>
        <v>155.48875013456777</v>
      </c>
      <c r="U18" s="28">
        <f>Table111[[#This Row],[scaled max]]-Table111[[#This Row],[scaled min]]</f>
        <v>105.74335235224459</v>
      </c>
      <c r="V18" s="28">
        <f>(VLOOKUP(Table111[[#This Row],[finger]],fingerMaxMin[],3)/scale)-S18</f>
        <v>115.98826569060179</v>
      </c>
      <c r="W18" s="8">
        <f t="shared" si="5"/>
        <v>0.76318056815392965</v>
      </c>
      <c r="X18" s="8">
        <f t="shared" si="6"/>
        <v>0.41487190300196497</v>
      </c>
      <c r="Y18" s="6"/>
      <c r="Z18">
        <f t="shared" si="7"/>
        <v>0.64618528332997893</v>
      </c>
      <c r="AA18">
        <f t="shared" si="8"/>
        <v>-0.90987982948273349</v>
      </c>
      <c r="AB18" s="6"/>
      <c r="AC18" s="6">
        <f t="shared" si="9"/>
        <v>0.31992924079247542</v>
      </c>
      <c r="AD18" s="6"/>
      <c r="AE18" t="s">
        <v>39</v>
      </c>
      <c r="AF18">
        <v>1640.04</v>
      </c>
      <c r="AG18">
        <v>1981.13</v>
      </c>
      <c r="AH18" s="6">
        <f>Table111[[#This Row],[Smax]]-Table111[[#This Row],[Smin]]</f>
        <v>341.09000000000015</v>
      </c>
      <c r="AI18" s="6">
        <f>AVERAGE(Table111[[#This Row],[Smin]:[Smax]])</f>
        <v>1810.585</v>
      </c>
      <c r="AJ18" s="6"/>
      <c r="AK18" s="6" t="s">
        <v>39</v>
      </c>
      <c r="AL18" s="6">
        <v>2133.14</v>
      </c>
      <c r="AM18" s="6">
        <v>2371.29</v>
      </c>
      <c r="AN18" s="6">
        <f t="shared" si="2"/>
        <v>238.15000000000009</v>
      </c>
      <c r="AO18" s="6">
        <f t="shared" si="3"/>
        <v>2252.2150000000001</v>
      </c>
      <c r="AQ18">
        <v>790</v>
      </c>
      <c r="AR18">
        <v>1960</v>
      </c>
      <c r="AS18">
        <v>2100</v>
      </c>
      <c r="AT18" s="6">
        <f>IF(Table111[[#This Row],[NEW Rmax]]="","",Table111[[#This Row],[NEW Rmax]]-Table111[[#This Row],[NEW Rmin]])</f>
        <v>140</v>
      </c>
    </row>
    <row r="19" spans="1:47">
      <c r="B19" s="6"/>
      <c r="C19" s="16"/>
      <c r="D19" s="16"/>
      <c r="E19" s="16"/>
      <c r="F19" s="16"/>
      <c r="G19" s="16"/>
      <c r="H19" s="5"/>
      <c r="I19" s="5"/>
      <c r="J19" s="5"/>
      <c r="K19" s="6"/>
      <c r="L19" s="6"/>
      <c r="M19" s="6"/>
      <c r="N19" s="6"/>
      <c r="O19" s="4"/>
      <c r="P19" s="4"/>
      <c r="Q19" s="4"/>
      <c r="R19" s="4"/>
      <c r="S19" s="7"/>
      <c r="T19" s="7"/>
      <c r="U19" s="28"/>
      <c r="V19" s="28"/>
      <c r="W19" s="8"/>
      <c r="X19" s="8"/>
      <c r="Y19" s="6"/>
      <c r="AB19" s="6"/>
      <c r="AC19" s="6"/>
      <c r="AD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</row>
    <row r="20" spans="1:47">
      <c r="B20" s="6"/>
      <c r="C20" s="4"/>
      <c r="D20" s="4"/>
      <c r="E20" s="4"/>
      <c r="F20" s="4"/>
      <c r="G20" s="4"/>
      <c r="H20" s="5"/>
      <c r="I20" s="5"/>
      <c r="J20" s="5"/>
      <c r="K20" s="6"/>
      <c r="L20" s="6"/>
      <c r="M20" s="6"/>
      <c r="N20" s="6"/>
      <c r="O20" s="4"/>
      <c r="P20" s="4"/>
      <c r="Q20" s="4"/>
      <c r="R20" s="4"/>
      <c r="S20" s="7"/>
      <c r="T20" s="7"/>
      <c r="U20" s="28"/>
      <c r="V20" s="28"/>
      <c r="W20" s="8"/>
      <c r="X20" s="8"/>
      <c r="Y20" s="6"/>
      <c r="AB20" s="6"/>
      <c r="AC20" s="6"/>
      <c r="AD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</row>
    <row r="21" spans="1:47">
      <c r="B21" s="6"/>
      <c r="C21" s="4"/>
      <c r="D21" s="4"/>
      <c r="E21" s="4"/>
      <c r="F21" s="4"/>
      <c r="G21" s="4"/>
      <c r="H21" s="5"/>
      <c r="I21" s="5"/>
      <c r="J21" s="5"/>
      <c r="K21" s="6"/>
      <c r="L21" s="6"/>
      <c r="M21" s="6"/>
      <c r="N21" s="6"/>
      <c r="O21" s="4"/>
      <c r="P21" s="4"/>
      <c r="Q21" s="4"/>
      <c r="R21" s="4"/>
      <c r="S21" s="7"/>
      <c r="T21" s="7"/>
      <c r="U21" s="28"/>
      <c r="V21" s="28"/>
      <c r="W21" s="8"/>
      <c r="X21" s="8"/>
      <c r="Y21" s="6"/>
      <c r="AB21" s="6"/>
      <c r="AC21" s="6"/>
      <c r="AD21" s="6"/>
      <c r="AE21" t="s">
        <v>134</v>
      </c>
      <c r="AF21">
        <f>_xlfn.STDEV.S(AF2:AF18)</f>
        <v>310.18792235245621</v>
      </c>
      <c r="AG21">
        <f t="shared" ref="AG21:AI21" si="10">_xlfn.STDEV.S(AG2:AG18)</f>
        <v>100.33009174511571</v>
      </c>
      <c r="AH21">
        <f t="shared" si="10"/>
        <v>304.63861655451734</v>
      </c>
      <c r="AI21">
        <f t="shared" si="10"/>
        <v>173.03226741679089</v>
      </c>
      <c r="AJ21" s="6"/>
      <c r="AK21" s="6"/>
      <c r="AL21" s="6"/>
      <c r="AM21" s="6"/>
      <c r="AN21" s="6"/>
      <c r="AO21" s="6"/>
      <c r="AP21" s="6"/>
      <c r="AQ21" s="6"/>
      <c r="AR21" s="6"/>
      <c r="AS21" s="6"/>
    </row>
    <row r="22" spans="1:47">
      <c r="B22" s="6"/>
      <c r="C22" s="4"/>
      <c r="D22" s="4"/>
      <c r="E22" s="4"/>
      <c r="F22" s="4"/>
      <c r="G22" s="4"/>
      <c r="H22" s="5"/>
      <c r="I22" s="5"/>
      <c r="J22" s="5"/>
      <c r="K22" s="6"/>
      <c r="L22" s="6"/>
      <c r="M22" s="6"/>
      <c r="N22" s="6"/>
      <c r="O22" s="4"/>
      <c r="P22" s="4"/>
      <c r="Q22" s="4"/>
      <c r="R22" s="4"/>
      <c r="S22" s="7"/>
      <c r="T22" s="7"/>
      <c r="U22" s="28"/>
      <c r="V22" s="28"/>
      <c r="W22" s="8"/>
      <c r="X22" s="8"/>
      <c r="Y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</row>
    <row r="23" spans="1:47">
      <c r="B23" s="6"/>
      <c r="C23" s="15"/>
      <c r="D23" s="15"/>
      <c r="E23" s="15"/>
      <c r="F23" s="15"/>
      <c r="G23" s="15"/>
      <c r="H23" s="5"/>
      <c r="I23" s="5"/>
      <c r="J23" s="5"/>
      <c r="K23" s="6"/>
      <c r="L23" s="6"/>
      <c r="M23" s="6"/>
      <c r="N23" s="6" t="s">
        <v>146</v>
      </c>
      <c r="O23" s="4">
        <f>AVERAGE(Table111[BENT  min])</f>
        <v>916.96374999999978</v>
      </c>
      <c r="P23" s="4">
        <f>AVERAGE(Table111[max])</f>
        <v>2725.1756249999999</v>
      </c>
      <c r="Q23" s="4">
        <f>AVERAGE(Table111[max-min])</f>
        <v>1808.211875</v>
      </c>
      <c r="R23" s="4">
        <f>AVERAGE(Table111[fingmax-max])</f>
        <v>353.82437500000003</v>
      </c>
      <c r="S23" s="4">
        <f>AVERAGE(Table111[scaled min])</f>
        <v>49.357506190117348</v>
      </c>
      <c r="T23" s="4">
        <f>AVERAGE(Table111[scaled max])</f>
        <v>146.68832086338682</v>
      </c>
      <c r="U23" s="4">
        <f>AVERAGE(Table111[scaled (max-min)])</f>
        <v>97.330814673269444</v>
      </c>
      <c r="V23" s="4">
        <f>AVERAGE(Table111[scaled(fingmax-min)])</f>
        <v>116.37615728280764</v>
      </c>
      <c r="W23" s="8"/>
      <c r="X23" s="8"/>
      <c r="Y23" s="6"/>
      <c r="AB23" s="6"/>
      <c r="AC23" s="6"/>
      <c r="AD23" s="6"/>
      <c r="AE23" t="s">
        <v>146</v>
      </c>
      <c r="AH23" s="6"/>
      <c r="AI23" s="6"/>
      <c r="AJ23" s="6"/>
      <c r="AK23" s="6"/>
      <c r="AL23" s="6">
        <f>AVERAGE(AL2:AL18)</f>
        <v>2154.4512500000001</v>
      </c>
      <c r="AM23" s="6">
        <f>AVERAGE(AM2:AM18)</f>
        <v>2417.8074999999999</v>
      </c>
      <c r="AN23" s="6">
        <f>AVERAGE(AN2:AN18)</f>
        <v>263.35624999999999</v>
      </c>
      <c r="AO23" s="6"/>
      <c r="AP23" s="6"/>
      <c r="AQ23" s="6">
        <f>AVERAGE(AQ2:AQ18)</f>
        <v>679.23076923076928</v>
      </c>
      <c r="AR23" s="6">
        <f t="shared" ref="AR23:AT23" si="11">AVERAGE(AR2:AR18)</f>
        <v>1982.4615384615386</v>
      </c>
      <c r="AS23" s="6">
        <f t="shared" si="11"/>
        <v>2223.8461538461538</v>
      </c>
      <c r="AT23" s="6">
        <f t="shared" si="11"/>
        <v>241.38461538461539</v>
      </c>
      <c r="AU23" t="s">
        <v>146</v>
      </c>
    </row>
    <row r="24" spans="1:47">
      <c r="B24" s="6"/>
      <c r="C24" s="4"/>
      <c r="D24" s="4"/>
      <c r="E24" s="4"/>
      <c r="F24" s="4"/>
      <c r="G24" s="4"/>
      <c r="H24" s="5"/>
      <c r="I24" s="5"/>
      <c r="J24" s="5"/>
      <c r="K24" s="6"/>
      <c r="L24" s="6"/>
      <c r="M24" s="6"/>
      <c r="N24" s="6"/>
      <c r="O24" s="4"/>
      <c r="P24" s="4"/>
      <c r="Q24" s="4"/>
      <c r="R24" s="4"/>
      <c r="S24" s="7"/>
      <c r="T24" s="7"/>
      <c r="U24" s="28"/>
      <c r="V24" s="28"/>
      <c r="W24" s="8"/>
      <c r="X24" s="8"/>
      <c r="Y24" s="6"/>
      <c r="AB24" s="6"/>
      <c r="AC24" s="6"/>
      <c r="AD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</row>
    <row r="25" spans="1:47">
      <c r="B25" s="6"/>
      <c r="C25" s="4"/>
      <c r="D25" s="4"/>
      <c r="E25" s="4"/>
      <c r="F25" s="4"/>
      <c r="G25" s="4"/>
      <c r="H25" s="5"/>
      <c r="I25" s="5"/>
      <c r="J25" s="5"/>
      <c r="K25" s="6"/>
      <c r="L25" s="6"/>
      <c r="M25" s="6"/>
      <c r="N25" s="6" t="s">
        <v>141</v>
      </c>
      <c r="O25">
        <f t="shared" ref="O25:R25" si="12">AVEDEV(O2:O18)</f>
        <v>72.557499999999976</v>
      </c>
      <c r="P25">
        <f t="shared" si="12"/>
        <v>105.68437499999999</v>
      </c>
      <c r="Q25">
        <f t="shared" ref="Q25" si="13">AVEDEV(Q2:Q18)</f>
        <v>128.46843750000002</v>
      </c>
      <c r="R25">
        <f t="shared" si="12"/>
        <v>105.68437499999999</v>
      </c>
      <c r="S25">
        <f>AVEDEV(S2:S18)</f>
        <v>3.9055603401873178</v>
      </c>
      <c r="T25">
        <f>AVEDEV(T2:T18)</f>
        <v>5.6886841963612884</v>
      </c>
      <c r="U25">
        <f>AVEDEV(U2:U18)</f>
        <v>6.9150843739907515</v>
      </c>
      <c r="V25">
        <f>AVEDEV(V2:V18)</f>
        <v>3.905560340187316</v>
      </c>
      <c r="W25" s="8"/>
      <c r="X25" s="8"/>
      <c r="Y25" s="6"/>
      <c r="AB25" s="6"/>
      <c r="AC25" s="6"/>
      <c r="AD25" s="6"/>
      <c r="AE25" t="s">
        <v>141</v>
      </c>
      <c r="AF25">
        <f>AVEDEV(AF2:AF18)</f>
        <v>270.46250000000003</v>
      </c>
      <c r="AG25">
        <f>AVEDEV(AG2:AG18)</f>
        <v>78.63015624999997</v>
      </c>
      <c r="AH25">
        <f>AVEDEV(AH2:AH18)</f>
        <v>243.84937499999998</v>
      </c>
      <c r="AI25">
        <f>AVEDEV(AI2:AI18)</f>
        <v>152.46132812500002</v>
      </c>
      <c r="AJ25" s="6"/>
      <c r="AK25" s="6"/>
      <c r="AL25" s="6">
        <f t="shared" ref="AL25:AN25" si="14">AVEDEV(AL2:AL18)</f>
        <v>59.511406249999993</v>
      </c>
      <c r="AM25" s="6">
        <f t="shared" si="14"/>
        <v>59.495312500000011</v>
      </c>
      <c r="AN25" s="6">
        <f t="shared" si="14"/>
        <v>68.318281249999899</v>
      </c>
      <c r="AO25" s="6">
        <f>AVEDEV(AO2:AO18)</f>
        <v>50.271874999999966</v>
      </c>
      <c r="AP25" s="6"/>
      <c r="AQ25" s="6">
        <f>AVEDEV(AQ2:AQ18)</f>
        <v>82.485207100591708</v>
      </c>
      <c r="AR25" s="6">
        <f t="shared" ref="AR25:AT25" si="15">AVEDEV(AR2:AR18)</f>
        <v>17.656804733727803</v>
      </c>
      <c r="AS25" s="6">
        <f t="shared" si="15"/>
        <v>62.011834319526628</v>
      </c>
      <c r="AT25" s="6">
        <f t="shared" si="15"/>
        <v>55.89349112426035</v>
      </c>
      <c r="AU25" t="s">
        <v>141</v>
      </c>
    </row>
    <row r="26" spans="1:47">
      <c r="B26" s="6"/>
      <c r="C26" s="4"/>
      <c r="D26" s="4"/>
      <c r="E26" s="4"/>
      <c r="F26" s="4"/>
      <c r="G26" s="4"/>
      <c r="H26" s="5"/>
      <c r="I26" s="5"/>
      <c r="J26" s="5"/>
      <c r="K26" s="6"/>
      <c r="L26" s="6"/>
      <c r="M26" s="6"/>
      <c r="N26" t="s">
        <v>160</v>
      </c>
      <c r="O26">
        <f t="array" ref="O26">MEDIAN(ABS(Table111[BENT  min]-MEDIAN(Table111[BENT  min])))</f>
        <v>70.12</v>
      </c>
      <c r="P26">
        <f t="array" ref="P26">MEDIAN(ABS(Table111[max]-MEDIAN(Table111[max])))</f>
        <v>109.80999999999995</v>
      </c>
      <c r="Q26">
        <f t="array" ref="Q26">MEDIAN(ABS(Table111[max-min]-MEDIAN(Table111[max-min])))</f>
        <v>49.870000000000118</v>
      </c>
      <c r="R26">
        <f t="array" ref="R26">MEDIAN(ABS(Table111[fingmax-max]-MEDIAN(Table111[fingmax-max])))</f>
        <v>109.81000000000017</v>
      </c>
      <c r="S26">
        <f t="array" ref="S26">MEDIAN(ABS(Table111[scaled min]-MEDIAN(Table111[scaled min])))</f>
        <v>3.7743567660673847</v>
      </c>
      <c r="T26">
        <f t="array" ref="T26">MEDIAN(ABS(Table111[scaled max]-MEDIAN(Table111[scaled max])))</f>
        <v>5.9107546560448156</v>
      </c>
      <c r="U26">
        <f t="array" ref="U26">MEDIAN(ABS(Table111[scaled (max-min)]-MEDIAN(Table111[scaled (max-min)])))</f>
        <v>2.6843578426095576</v>
      </c>
      <c r="V26">
        <f t="array" ref="V26">MEDIAN(ABS(Table111[scaled(fingmax-min)]-MEDIAN(Table111[scaled(fingmax-min)])))</f>
        <v>3.7743567660673847</v>
      </c>
      <c r="AF26">
        <f t="array" ref="AF26">MEDIAN(ABS(Table111[Smin]-MEDIAN(Table111[Smin])))</f>
        <v>259.71000000000004</v>
      </c>
      <c r="AG26">
        <f t="array" ref="AG26">MEDIAN(ABS(Table111[Smax]-MEDIAN(Table111[Smax])))</f>
        <v>53.950000000000273</v>
      </c>
      <c r="AL26">
        <f t="array" ref="AL26">MEDIAN(ABS(Table111[Rmin]-MEDIAN(Table111[Rmin])))</f>
        <v>61.700000000000273</v>
      </c>
      <c r="AM26">
        <f t="array" ref="AM26">MEDIAN(ABS(Table111[Rmax]-MEDIAN(Table111[Rmax])))</f>
        <v>47.835000000000036</v>
      </c>
      <c r="AN26">
        <f t="array" ref="AN26">MEDIAN(ABS(Table111[Rmax-Rmin]-MEDIAN(Table111[Rmax-Rmin])))</f>
        <v>50.700000000000045</v>
      </c>
      <c r="AQ26">
        <f t="array" ref="AQ26">MEDIAN(ABS(Table111[NEW Smin]-MEDIAN(Table111[NEW Smin])))</f>
        <v>100</v>
      </c>
      <c r="AR26">
        <f t="array" ref="AR26">MEDIAN(ABS(Table111[NEW Rmin]-MEDIAN(Table111[NEW Rmin])))</f>
        <v>25</v>
      </c>
      <c r="AS26">
        <f t="array" ref="AS26">MEDIAN(ABS(Table111[NEW Rmax]-MEDIAN(Table111[NEW Rmax])))</f>
        <v>70</v>
      </c>
      <c r="AT26">
        <f t="array" ref="AT26">MEDIAN(ABS(Table111[NEW Rmax-Rmin]-MEDIAN(Table111[NEW Rmax-Rmin])))</f>
        <v>78</v>
      </c>
      <c r="AU26" t="s">
        <v>160</v>
      </c>
    </row>
    <row r="27" spans="1:47">
      <c r="C27" s="15"/>
      <c r="D27" s="15"/>
      <c r="E27" s="15"/>
      <c r="F27" s="15"/>
      <c r="N27" t="s">
        <v>135</v>
      </c>
      <c r="O27">
        <f>PEARSON(Table111[aw length],Table111[BENT  min])</f>
        <v>3.8078367191658372E-2</v>
      </c>
      <c r="P27">
        <f>PEARSON(Table111[aw length],Table111[max])</f>
        <v>0.11165213115243459</v>
      </c>
      <c r="Q27">
        <f>PEARSON(Table111[aw length],Table111[max-min])</f>
        <v>7.2655752344723559E-2</v>
      </c>
      <c r="R27">
        <f>PEARSON(Table111[aw length],Table111[fingmax-max])</f>
        <v>-0.11165213115243455</v>
      </c>
      <c r="S27">
        <f>PEARSON(Table111[aw length],Table111[scaled min])</f>
        <v>3.8078367191658399E-2</v>
      </c>
      <c r="T27">
        <f>PEARSON(Table111[aw length],Table111[scaled max])</f>
        <v>0.11165213115243465</v>
      </c>
      <c r="U27">
        <f>PEARSON(Table111[aw length],Table111[scaled (max-min)])</f>
        <v>7.2655752344723656E-2</v>
      </c>
      <c r="V27">
        <f>PEARSON(Table111[aw length],Table111[scaled(fingmax-min)])</f>
        <v>-3.8078367191658122E-2</v>
      </c>
      <c r="AB27" s="6"/>
      <c r="AC27" s="6"/>
      <c r="AD27" s="6"/>
      <c r="AE27" t="s">
        <v>135</v>
      </c>
      <c r="AF27">
        <f>PEARSON(Table111[aw length],Table111[Smin])</f>
        <v>5.4981026086002215E-2</v>
      </c>
      <c r="AG27">
        <f>PEARSON(Table111[aw length],Table111[Smax])</f>
        <v>6.4131849042969105E-2</v>
      </c>
      <c r="AH27">
        <f>PEARSON(Table111[aw length],Table111[Smax-Smin])</f>
        <v>-3.4861292610477983E-2</v>
      </c>
      <c r="AI27">
        <f>PEARSON(Table111[aw length],Table111[Smax Smin avg])</f>
        <v>6.7874058692502764E-2</v>
      </c>
      <c r="AJ27" s="6"/>
      <c r="AK27" s="6"/>
      <c r="AL27" s="6"/>
      <c r="AM27" s="6"/>
      <c r="AN27" s="6"/>
      <c r="AO27" s="6"/>
      <c r="AP27" s="6"/>
      <c r="AQ27" s="6">
        <f>PEARSON(Table111[aw length],Table111[NEW Smin])</f>
        <v>-6.3236477843487862E-2</v>
      </c>
      <c r="AR27" s="6">
        <f>PEARSON(Table111[aw length],Table111[NEW Rmin])</f>
        <v>0.40148801394893385</v>
      </c>
      <c r="AS27" s="6">
        <f>PEARSON(Table111[aw length],Table111[NEW Rmax])</f>
        <v>0.44752720232023935</v>
      </c>
      <c r="AU27" t="s">
        <v>135</v>
      </c>
    </row>
    <row r="28" spans="1:47">
      <c r="B28" s="6"/>
      <c r="C28" s="9"/>
      <c r="D28" s="9"/>
      <c r="E28" s="9"/>
      <c r="F28" s="9"/>
      <c r="G28" s="9"/>
      <c r="H28" s="5"/>
      <c r="I28" s="5"/>
      <c r="J28" s="5"/>
      <c r="K28" s="6"/>
      <c r="L28" s="6"/>
      <c r="M28" s="6"/>
      <c r="N28" s="6"/>
      <c r="O28" s="4"/>
      <c r="P28" s="4"/>
      <c r="Q28" s="4"/>
      <c r="R28" s="4"/>
      <c r="S28" s="7"/>
      <c r="T28" s="7"/>
      <c r="U28" s="28"/>
      <c r="V28" s="28"/>
      <c r="W28" s="8"/>
      <c r="X28" s="8"/>
      <c r="Y28" s="6"/>
      <c r="AB28" s="6"/>
      <c r="AC28" s="6"/>
      <c r="AD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</row>
    <row r="29" spans="1:47">
      <c r="B29" s="6"/>
      <c r="C29" s="4"/>
      <c r="D29" s="4"/>
      <c r="E29" s="4"/>
      <c r="F29" s="4"/>
      <c r="G29" s="4"/>
      <c r="H29" s="5"/>
      <c r="I29" s="5"/>
      <c r="J29" s="5"/>
      <c r="K29" s="6"/>
      <c r="L29" s="6"/>
      <c r="M29" s="6"/>
      <c r="N29" s="6"/>
      <c r="O29" s="4"/>
      <c r="P29" s="4"/>
      <c r="Q29" s="4"/>
      <c r="R29" s="4"/>
      <c r="S29" s="7"/>
      <c r="T29" s="7"/>
      <c r="U29" s="28"/>
      <c r="V29" s="28"/>
      <c r="W29" s="8"/>
      <c r="X29" s="8"/>
      <c r="Y29" s="6"/>
      <c r="AB29" s="6"/>
      <c r="AC29" s="6"/>
      <c r="AD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</row>
    <row r="30" spans="1:47">
      <c r="B30" s="6"/>
      <c r="C30" s="16"/>
      <c r="D30" s="16"/>
      <c r="E30" s="16"/>
      <c r="F30" s="16"/>
      <c r="G30" s="16"/>
      <c r="H30" s="5"/>
      <c r="I30" s="5"/>
      <c r="J30" s="5"/>
      <c r="K30" s="6"/>
      <c r="L30" s="6"/>
      <c r="M30" s="6"/>
      <c r="N30" s="6"/>
      <c r="O30" s="4"/>
      <c r="P30" s="4"/>
      <c r="Q30" s="4"/>
      <c r="R30" s="4"/>
      <c r="S30" s="7"/>
      <c r="T30" s="7"/>
      <c r="U30" s="28"/>
      <c r="V30" s="28"/>
      <c r="W30" s="8"/>
      <c r="X30" s="8"/>
      <c r="Y30" s="6"/>
      <c r="AB30" s="6"/>
      <c r="AC30" s="6"/>
      <c r="AD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</row>
    <row r="31" spans="1:47">
      <c r="B31" s="6"/>
      <c r="C31" s="16"/>
      <c r="D31" s="16"/>
      <c r="E31" s="16"/>
      <c r="F31" s="16"/>
      <c r="G31" s="16"/>
      <c r="H31" s="5"/>
      <c r="I31" s="5"/>
      <c r="J31" s="5"/>
      <c r="K31" s="6"/>
      <c r="L31" s="6"/>
      <c r="M31" s="6"/>
      <c r="N31" s="6"/>
      <c r="O31" s="4"/>
      <c r="P31" s="4"/>
      <c r="Q31" s="4"/>
      <c r="R31" s="4"/>
      <c r="S31" s="7"/>
      <c r="T31" s="7"/>
      <c r="U31" s="28"/>
      <c r="V31" s="28"/>
      <c r="W31" s="8"/>
      <c r="X31" s="8"/>
      <c r="Y31" s="6"/>
      <c r="AB31" s="6"/>
      <c r="AC31" s="6"/>
      <c r="AD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</row>
    <row r="32" spans="1:47">
      <c r="C32" s="15"/>
      <c r="D32" s="15"/>
      <c r="E32" s="15"/>
      <c r="F32" s="15"/>
      <c r="G32" s="15"/>
      <c r="K32" s="6"/>
      <c r="L32" s="6"/>
      <c r="M32" s="6"/>
      <c r="O32" s="4"/>
      <c r="P32" s="4"/>
      <c r="Q32" s="4"/>
      <c r="R32" s="4"/>
      <c r="S32" s="7"/>
      <c r="T32" s="7"/>
      <c r="U32" s="28"/>
      <c r="V32" s="28"/>
      <c r="W32" s="8"/>
      <c r="X32" s="8"/>
      <c r="Y32" s="6"/>
      <c r="AB32" s="6"/>
      <c r="AC32" s="6"/>
      <c r="AD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</row>
    <row r="33" spans="2:45">
      <c r="B33" s="6"/>
      <c r="C33" s="16"/>
      <c r="D33" s="16"/>
      <c r="E33" s="16"/>
      <c r="F33" s="16"/>
      <c r="G33" s="16"/>
      <c r="H33" s="5"/>
      <c r="I33" s="5"/>
      <c r="J33" s="5"/>
      <c r="K33" s="6"/>
      <c r="L33" s="6"/>
      <c r="M33" s="6"/>
      <c r="N33" s="6"/>
      <c r="O33" s="4"/>
      <c r="P33" s="4"/>
      <c r="Q33" s="4"/>
      <c r="R33" s="4"/>
      <c r="S33" s="7"/>
      <c r="T33" s="7"/>
      <c r="U33" s="28"/>
      <c r="V33" s="28"/>
      <c r="W33" s="8"/>
      <c r="X33" s="8"/>
      <c r="Y33" s="6"/>
      <c r="AB33" s="6"/>
      <c r="AC33" s="6"/>
      <c r="AD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</row>
    <row r="34" spans="2:45">
      <c r="B34" s="6"/>
      <c r="C34" s="16"/>
      <c r="D34" s="16"/>
      <c r="E34" s="16"/>
      <c r="F34" s="16"/>
      <c r="G34" s="16"/>
      <c r="H34" s="5"/>
      <c r="I34" s="5"/>
      <c r="J34" s="5"/>
      <c r="K34" s="6"/>
      <c r="L34" s="6"/>
      <c r="M34" s="6"/>
      <c r="N34" s="6"/>
      <c r="O34" s="4"/>
      <c r="P34" s="4"/>
      <c r="Q34" s="4"/>
      <c r="R34" s="4"/>
      <c r="S34" s="7"/>
      <c r="T34" s="7"/>
      <c r="U34" s="28"/>
      <c r="V34" s="28"/>
      <c r="W34" s="8"/>
      <c r="X34" s="8"/>
      <c r="Y34" s="6"/>
      <c r="AB34" s="6"/>
      <c r="AC34" s="6"/>
      <c r="AD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</row>
    <row r="35" spans="2:45">
      <c r="B35" s="6"/>
      <c r="C35" s="16"/>
      <c r="D35" s="16"/>
      <c r="E35" s="16"/>
      <c r="F35" s="16"/>
      <c r="G35" s="16"/>
      <c r="H35" s="5"/>
      <c r="I35" s="5"/>
      <c r="J35" s="5"/>
      <c r="K35" s="6"/>
      <c r="L35" s="6"/>
      <c r="M35" s="6"/>
      <c r="N35" s="6"/>
      <c r="O35" s="4"/>
      <c r="P35" s="4"/>
      <c r="Q35" s="4"/>
      <c r="R35" s="4"/>
      <c r="S35" s="7"/>
      <c r="T35" s="7"/>
      <c r="U35" s="28"/>
      <c r="V35" s="28"/>
      <c r="W35" s="8"/>
      <c r="X35" s="8"/>
      <c r="Y35" s="6"/>
      <c r="AB35" s="6"/>
      <c r="AC35" s="6"/>
      <c r="AD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</row>
    <row r="36" spans="2:45">
      <c r="C36" s="15"/>
      <c r="D36" s="15"/>
      <c r="E36" s="15"/>
      <c r="F36" s="15"/>
      <c r="G36" s="15"/>
      <c r="K36" s="6"/>
      <c r="L36" s="6"/>
      <c r="M36" s="6"/>
      <c r="R36" s="4"/>
      <c r="S36" s="7"/>
      <c r="T36" s="7"/>
      <c r="U36" s="28"/>
      <c r="V36" s="28"/>
      <c r="W36" s="8"/>
      <c r="X36" s="8"/>
      <c r="Y36" s="6"/>
      <c r="AB36" s="6"/>
      <c r="AC36" s="6"/>
      <c r="AD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</row>
    <row r="37" spans="2:45">
      <c r="B37" s="6"/>
      <c r="C37" s="4"/>
      <c r="D37" s="4"/>
      <c r="E37" s="4"/>
      <c r="F37" s="4"/>
      <c r="G37" s="4"/>
      <c r="H37" s="5"/>
      <c r="I37" s="5"/>
      <c r="J37" s="5"/>
      <c r="K37" s="6"/>
      <c r="L37" s="6"/>
      <c r="M37" s="6"/>
      <c r="N37" s="6"/>
      <c r="O37" s="4"/>
      <c r="P37" s="4"/>
      <c r="Q37" s="4"/>
      <c r="R37" s="4"/>
      <c r="S37" s="7"/>
      <c r="T37" s="7"/>
      <c r="U37" s="28"/>
      <c r="V37" s="28"/>
      <c r="W37" s="8"/>
      <c r="X37" s="8"/>
      <c r="Y37" s="6"/>
      <c r="AB37" s="6"/>
      <c r="AC37" s="6"/>
      <c r="AD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</row>
    <row r="38" spans="2:45">
      <c r="B38" s="6"/>
      <c r="C38" s="4"/>
      <c r="D38" s="4"/>
      <c r="E38" s="4"/>
      <c r="F38" s="4"/>
      <c r="G38" s="4"/>
      <c r="H38" s="5"/>
      <c r="I38" s="5"/>
      <c r="J38" s="5"/>
      <c r="K38" s="6"/>
      <c r="L38" s="6"/>
      <c r="M38" s="6"/>
      <c r="N38" s="6"/>
      <c r="O38" s="4"/>
      <c r="P38" s="4"/>
      <c r="Q38" s="4"/>
      <c r="R38" s="4"/>
      <c r="S38" s="7"/>
      <c r="T38" s="7"/>
      <c r="U38" s="28"/>
      <c r="V38" s="28"/>
      <c r="W38" s="8"/>
      <c r="X38" s="8"/>
      <c r="Y38" s="6"/>
      <c r="AB38" s="6"/>
      <c r="AC38" s="6"/>
      <c r="AD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</row>
    <row r="39" spans="2:45">
      <c r="B39" s="6"/>
      <c r="C39" s="4"/>
      <c r="D39" s="4"/>
      <c r="E39" s="4"/>
      <c r="F39" s="4"/>
      <c r="G39" s="4"/>
      <c r="H39" s="5"/>
      <c r="I39" s="5"/>
      <c r="J39" s="5"/>
      <c r="K39" s="6"/>
      <c r="L39" s="6"/>
      <c r="M39" s="6"/>
      <c r="N39" s="6"/>
      <c r="O39" s="4"/>
      <c r="P39" s="4"/>
      <c r="Q39" s="4"/>
      <c r="R39" s="4"/>
      <c r="S39" s="7"/>
      <c r="T39" s="7"/>
      <c r="U39" s="28"/>
      <c r="V39" s="28"/>
      <c r="W39" s="8"/>
      <c r="X39" s="8"/>
      <c r="Y39" s="6"/>
      <c r="AB39" s="6"/>
      <c r="AC39" s="6"/>
      <c r="AD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</row>
    <row r="40" spans="2:45">
      <c r="B40" s="6"/>
      <c r="C40" s="4"/>
      <c r="D40" s="4"/>
      <c r="E40" s="4"/>
      <c r="F40" s="4"/>
      <c r="G40" s="4"/>
      <c r="H40" s="5"/>
      <c r="I40" s="5"/>
      <c r="J40" s="5"/>
      <c r="K40" s="6"/>
      <c r="L40" s="6"/>
      <c r="M40" s="6"/>
      <c r="N40" s="6"/>
      <c r="O40" s="4"/>
      <c r="P40" s="4"/>
      <c r="Q40" s="4"/>
      <c r="R40" s="4"/>
      <c r="S40" s="7"/>
      <c r="T40" s="7"/>
      <c r="U40" s="28"/>
      <c r="V40" s="28"/>
      <c r="W40" s="8"/>
      <c r="X40" s="8"/>
      <c r="Y40" s="6"/>
      <c r="AB40" s="6"/>
      <c r="AC40" s="6"/>
      <c r="AD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</row>
    <row r="41" spans="2:45">
      <c r="B41" s="6"/>
      <c r="C41" s="4"/>
      <c r="D41" s="4"/>
      <c r="E41" s="4"/>
      <c r="F41" s="4"/>
      <c r="G41" s="4"/>
      <c r="H41" s="5"/>
      <c r="I41" s="5"/>
      <c r="J41" s="5"/>
      <c r="K41" s="6"/>
      <c r="L41" s="6"/>
      <c r="M41" s="6"/>
      <c r="R41" s="4"/>
      <c r="S41" s="7"/>
      <c r="T41" s="7"/>
      <c r="U41" s="28"/>
      <c r="V41" s="28"/>
      <c r="W41" s="8"/>
      <c r="X41" s="8"/>
      <c r="Y41" s="6"/>
      <c r="Z41" s="6"/>
      <c r="AA41" s="6"/>
      <c r="AB41" s="6"/>
      <c r="AC41" s="6"/>
      <c r="AD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</row>
    <row r="42" spans="2:45">
      <c r="B42" s="6"/>
      <c r="C42" s="16"/>
      <c r="D42" s="16"/>
      <c r="E42" s="16"/>
      <c r="F42" s="16"/>
      <c r="G42" s="16"/>
      <c r="H42" s="5"/>
      <c r="I42" s="5"/>
      <c r="J42" s="5"/>
      <c r="K42" s="6"/>
      <c r="L42" s="6"/>
      <c r="M42" s="6"/>
      <c r="N42" s="6"/>
      <c r="O42" s="4"/>
      <c r="P42" s="4"/>
      <c r="Q42" s="4"/>
      <c r="R42" s="4"/>
      <c r="S42" s="7"/>
      <c r="T42" s="7"/>
      <c r="U42" s="28"/>
      <c r="V42" s="28"/>
      <c r="W42" s="8"/>
      <c r="X42" s="8"/>
      <c r="Y42" s="6"/>
      <c r="AB42" s="6"/>
      <c r="AC42" s="6"/>
      <c r="AD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</row>
    <row r="43" spans="2:45">
      <c r="B43" s="6"/>
      <c r="C43" s="4"/>
      <c r="D43" s="4"/>
      <c r="E43" s="4"/>
      <c r="F43" s="4"/>
      <c r="G43" s="4"/>
      <c r="H43" s="5"/>
      <c r="I43" s="5"/>
      <c r="J43" s="5"/>
      <c r="K43" s="6"/>
      <c r="L43" s="6"/>
      <c r="M43" s="6"/>
      <c r="N43" s="6"/>
      <c r="O43" s="4"/>
      <c r="P43" s="4"/>
      <c r="Q43" s="4"/>
      <c r="R43" s="4"/>
      <c r="S43" s="7"/>
      <c r="T43" s="7"/>
      <c r="U43" s="28"/>
      <c r="V43" s="28"/>
      <c r="W43" s="8"/>
      <c r="X43" s="8"/>
      <c r="Y43" s="6"/>
      <c r="AB43" s="6"/>
      <c r="AC43" s="6"/>
      <c r="AD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</row>
    <row r="44" spans="2:45">
      <c r="B44" s="6"/>
      <c r="C44" s="15"/>
      <c r="D44" s="15"/>
      <c r="E44" s="15"/>
      <c r="F44" s="15"/>
      <c r="G44" s="15"/>
      <c r="H44" s="5"/>
      <c r="I44" s="5"/>
      <c r="J44" s="5"/>
      <c r="K44" s="6"/>
      <c r="L44" s="6"/>
      <c r="M44" s="6"/>
      <c r="N44" s="6"/>
      <c r="O44" s="4"/>
      <c r="P44" s="4"/>
      <c r="Q44" s="4"/>
      <c r="R44" s="4"/>
      <c r="S44" s="7"/>
      <c r="T44" s="7"/>
      <c r="U44" s="28"/>
      <c r="V44" s="28"/>
      <c r="W44" s="8"/>
      <c r="X44" s="8"/>
      <c r="Y44" s="6"/>
      <c r="AB44" s="6"/>
      <c r="AC44" s="6"/>
      <c r="AD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</row>
    <row r="45" spans="2:45">
      <c r="B45" s="6"/>
      <c r="C45" s="15"/>
      <c r="D45" s="15"/>
      <c r="E45" s="15"/>
      <c r="F45" s="15"/>
      <c r="G45" s="15"/>
      <c r="H45" s="5"/>
      <c r="I45" s="5"/>
      <c r="J45" s="5"/>
      <c r="K45" s="6"/>
      <c r="L45" s="6"/>
      <c r="M45" s="6"/>
      <c r="N45" s="6"/>
      <c r="O45" s="4"/>
      <c r="P45" s="4"/>
      <c r="Q45" s="4"/>
      <c r="R45" s="4"/>
      <c r="S45" s="7"/>
      <c r="T45" s="7"/>
      <c r="U45" s="28"/>
      <c r="V45" s="28"/>
      <c r="W45" s="8"/>
      <c r="X45" s="8"/>
      <c r="Y45" s="6"/>
      <c r="AB45" s="6"/>
      <c r="AC45" s="6"/>
      <c r="AD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</row>
    <row r="46" spans="2:45">
      <c r="B46" s="6"/>
      <c r="C46" s="16"/>
      <c r="D46" s="16"/>
      <c r="E46" s="16"/>
      <c r="F46" s="16"/>
      <c r="G46" s="16"/>
      <c r="H46" s="5"/>
      <c r="I46" s="5"/>
      <c r="J46" s="5"/>
      <c r="K46" s="6"/>
      <c r="L46" s="6"/>
      <c r="M46" s="6"/>
      <c r="N46" s="6"/>
      <c r="O46" s="4"/>
      <c r="P46" s="4"/>
      <c r="Q46" s="4"/>
      <c r="R46" s="4"/>
      <c r="S46" s="7"/>
      <c r="T46" s="7"/>
      <c r="U46" s="28"/>
      <c r="V46" s="28"/>
      <c r="W46" s="8"/>
      <c r="X46" s="8"/>
      <c r="Y46" s="6"/>
      <c r="AB46" s="6"/>
      <c r="AC46" s="6"/>
      <c r="AD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</row>
    <row r="47" spans="2:45">
      <c r="B47" s="6"/>
      <c r="C47" s="9"/>
      <c r="D47" s="9"/>
      <c r="E47" s="9"/>
      <c r="F47" s="9"/>
      <c r="G47" s="9"/>
      <c r="H47" s="5"/>
      <c r="I47" s="5"/>
      <c r="J47" s="5"/>
      <c r="K47" s="6"/>
      <c r="L47" s="6"/>
      <c r="M47" s="6"/>
      <c r="N47" s="6"/>
      <c r="O47" s="4"/>
      <c r="P47" s="4"/>
      <c r="Q47" s="4"/>
      <c r="R47" s="4"/>
      <c r="S47" s="7"/>
      <c r="T47" s="7"/>
      <c r="U47" s="28"/>
      <c r="V47" s="28"/>
      <c r="W47" s="8"/>
      <c r="X47" s="8"/>
      <c r="Y47" s="6"/>
      <c r="AB47" s="6"/>
      <c r="AC47" s="6"/>
      <c r="AD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</row>
    <row r="48" spans="2:45">
      <c r="C48" s="15"/>
      <c r="D48" s="15"/>
      <c r="E48" s="15"/>
      <c r="F48" s="15"/>
      <c r="G48" s="15"/>
      <c r="K48" s="6"/>
      <c r="L48" s="6"/>
      <c r="M48" s="6"/>
      <c r="O48" s="4"/>
      <c r="P48" s="4"/>
      <c r="Q48" s="4"/>
      <c r="R48" s="4"/>
      <c r="S48" s="7"/>
      <c r="T48" s="7"/>
      <c r="U48" s="28"/>
      <c r="V48" s="28"/>
      <c r="W48" s="8"/>
      <c r="X48" s="8"/>
      <c r="Y48" s="6"/>
      <c r="AB48" s="6"/>
      <c r="AC48" s="6"/>
      <c r="AD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</row>
    <row r="49" spans="2:45">
      <c r="B49" s="6"/>
      <c r="C49" s="16"/>
      <c r="D49" s="16"/>
      <c r="E49" s="16"/>
      <c r="F49" s="16"/>
      <c r="G49" s="16"/>
      <c r="H49" s="5"/>
      <c r="I49" s="5"/>
      <c r="J49" s="5"/>
      <c r="K49" s="6"/>
      <c r="L49" s="6"/>
      <c r="M49" s="6"/>
      <c r="N49" s="6"/>
      <c r="O49" s="4"/>
      <c r="P49" s="4"/>
      <c r="Q49" s="4"/>
      <c r="R49" s="4"/>
      <c r="S49" s="7"/>
      <c r="T49" s="7"/>
      <c r="U49" s="28"/>
      <c r="V49" s="28"/>
      <c r="W49" s="8"/>
      <c r="X49" s="8"/>
      <c r="Y49" s="6"/>
      <c r="AB49" s="6"/>
      <c r="AC49" s="6"/>
      <c r="AD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</row>
    <row r="50" spans="2:45">
      <c r="B50" s="6"/>
      <c r="C50" s="9"/>
      <c r="D50" s="9"/>
      <c r="E50" s="9"/>
      <c r="F50" s="9"/>
      <c r="G50" s="9"/>
      <c r="H50" s="5"/>
      <c r="I50" s="5"/>
      <c r="J50" s="5"/>
      <c r="K50" s="6"/>
      <c r="L50" s="6"/>
      <c r="M50" s="6"/>
      <c r="N50" s="6"/>
      <c r="O50" s="4"/>
      <c r="P50" s="4"/>
      <c r="Q50" s="4"/>
      <c r="R50" s="4"/>
      <c r="S50" s="7"/>
      <c r="T50" s="7"/>
      <c r="U50" s="28"/>
      <c r="V50" s="28"/>
      <c r="W50" s="8"/>
      <c r="X50" s="8"/>
      <c r="Y50" s="6"/>
      <c r="AB50" s="6"/>
      <c r="AC50" s="6"/>
      <c r="AD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</row>
    <row r="51" spans="2:45">
      <c r="B51" s="6"/>
      <c r="C51" s="16"/>
      <c r="D51" s="16"/>
      <c r="E51" s="16"/>
      <c r="F51" s="16"/>
      <c r="G51" s="16"/>
      <c r="H51" s="5"/>
      <c r="I51" s="5"/>
      <c r="J51" s="5"/>
      <c r="K51" s="6"/>
      <c r="L51" s="6"/>
      <c r="M51" s="6"/>
      <c r="N51" s="6"/>
      <c r="O51" s="4"/>
      <c r="P51" s="4"/>
      <c r="Q51" s="4"/>
      <c r="R51" s="4"/>
      <c r="S51" s="7"/>
      <c r="T51" s="7"/>
      <c r="U51" s="28"/>
      <c r="V51" s="28"/>
      <c r="W51" s="8"/>
      <c r="X51" s="8"/>
      <c r="Y51" s="6"/>
      <c r="AB51" s="6"/>
      <c r="AC51" s="6"/>
      <c r="AD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</row>
    <row r="52" spans="2:45">
      <c r="B52" s="6"/>
      <c r="C52" s="16"/>
      <c r="D52" s="16"/>
      <c r="E52" s="16"/>
      <c r="F52" s="16"/>
      <c r="G52" s="16"/>
      <c r="H52" s="5"/>
      <c r="I52" s="5"/>
      <c r="J52" s="5"/>
      <c r="K52" s="6"/>
      <c r="L52" s="6"/>
      <c r="M52" s="6"/>
      <c r="N52" s="6"/>
      <c r="O52" s="4"/>
      <c r="P52" s="4"/>
      <c r="Q52" s="4"/>
      <c r="R52" s="4"/>
      <c r="S52" s="7"/>
      <c r="T52" s="7"/>
      <c r="U52" s="28"/>
      <c r="V52" s="28"/>
      <c r="W52" s="8"/>
      <c r="X52" s="8"/>
      <c r="Y52" s="6"/>
      <c r="AB52" s="6"/>
      <c r="AC52" s="6"/>
      <c r="AD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</row>
    <row r="53" spans="2:45">
      <c r="B53" s="6"/>
      <c r="C53" s="4"/>
      <c r="D53" s="4"/>
      <c r="E53" s="4"/>
      <c r="F53" s="4"/>
      <c r="G53" s="4"/>
      <c r="H53" s="5"/>
      <c r="I53" s="5"/>
      <c r="J53" s="5"/>
      <c r="K53" s="6"/>
      <c r="L53" s="6"/>
      <c r="M53" s="6"/>
      <c r="N53" s="6"/>
      <c r="O53" s="4"/>
      <c r="P53" s="4"/>
      <c r="Q53" s="4"/>
      <c r="R53" s="4"/>
      <c r="S53" s="7"/>
      <c r="T53" s="7"/>
      <c r="U53" s="28"/>
      <c r="V53" s="28"/>
      <c r="W53" s="8"/>
      <c r="X53" s="8"/>
      <c r="Y53" s="6"/>
      <c r="AB53" s="6"/>
      <c r="AC53" s="6"/>
      <c r="AD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</row>
    <row r="54" spans="2:45">
      <c r="B54" s="6"/>
      <c r="C54" s="4"/>
      <c r="D54" s="4"/>
      <c r="E54" s="4"/>
      <c r="F54" s="4"/>
      <c r="G54" s="4"/>
      <c r="H54" s="5"/>
      <c r="I54" s="5"/>
      <c r="J54" s="5"/>
      <c r="K54" s="6"/>
      <c r="L54" s="6"/>
      <c r="M54" s="6"/>
      <c r="N54" s="6"/>
      <c r="O54" s="4"/>
      <c r="P54" s="4"/>
      <c r="Q54" s="4"/>
      <c r="R54" s="4"/>
      <c r="S54" s="7"/>
      <c r="T54" s="7"/>
      <c r="U54" s="28"/>
      <c r="V54" s="28"/>
      <c r="W54" s="8"/>
      <c r="X54" s="8"/>
      <c r="Y54" s="6"/>
      <c r="AB54" s="6"/>
      <c r="AC54" s="6"/>
      <c r="AD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</row>
    <row r="55" spans="2:45">
      <c r="B55" s="6"/>
      <c r="C55" s="4"/>
      <c r="D55" s="4"/>
      <c r="E55" s="4"/>
      <c r="F55" s="4"/>
      <c r="G55" s="4"/>
      <c r="H55" s="5"/>
      <c r="I55" s="5"/>
      <c r="J55" s="5"/>
      <c r="K55" s="6"/>
      <c r="L55" s="6"/>
      <c r="M55" s="6"/>
      <c r="N55" s="6"/>
      <c r="O55" s="4"/>
      <c r="P55" s="4"/>
      <c r="Q55" s="4"/>
      <c r="R55" s="4"/>
      <c r="S55" s="7"/>
      <c r="T55" s="7"/>
      <c r="U55" s="28"/>
      <c r="V55" s="28"/>
      <c r="W55" s="8"/>
      <c r="X55" s="8"/>
      <c r="Y55" s="6"/>
      <c r="AB55" s="6"/>
      <c r="AC55" s="6"/>
      <c r="AD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</row>
    <row r="56" spans="2:45">
      <c r="B56" s="6"/>
      <c r="C56" s="15"/>
      <c r="D56" s="15"/>
      <c r="E56" s="15"/>
      <c r="F56" s="15"/>
      <c r="G56" s="15"/>
      <c r="H56" s="5"/>
      <c r="I56" s="5"/>
      <c r="J56" s="5"/>
      <c r="K56" s="6"/>
      <c r="L56" s="6"/>
      <c r="M56" s="6"/>
      <c r="N56" s="6"/>
      <c r="O56" s="4"/>
      <c r="P56" s="4"/>
      <c r="Q56" s="4"/>
      <c r="R56" s="4"/>
      <c r="S56" s="7"/>
      <c r="T56" s="7"/>
      <c r="U56" s="28"/>
      <c r="V56" s="28"/>
      <c r="W56" s="8"/>
      <c r="X56" s="8"/>
      <c r="Y56" s="6"/>
      <c r="AB56" s="6"/>
      <c r="AC56" s="6"/>
      <c r="AD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</row>
    <row r="57" spans="2:45">
      <c r="C57" s="15"/>
      <c r="D57" s="15"/>
      <c r="E57" s="15"/>
      <c r="F57" s="15"/>
      <c r="G57" s="15"/>
      <c r="K57" s="6"/>
      <c r="L57" s="6"/>
      <c r="M57" s="6"/>
      <c r="O57" s="4"/>
      <c r="P57" s="4"/>
      <c r="Q57" s="4"/>
      <c r="R57" s="4"/>
      <c r="S57" s="7"/>
      <c r="T57" s="7"/>
      <c r="U57" s="28"/>
      <c r="V57" s="28"/>
      <c r="W57" s="8"/>
      <c r="X57" s="8"/>
      <c r="Y57" s="6"/>
      <c r="AB57" s="6"/>
      <c r="AC57" s="6"/>
      <c r="AD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</row>
    <row r="58" spans="2:45">
      <c r="B58" s="6"/>
      <c r="C58" s="4"/>
      <c r="D58" s="4"/>
      <c r="E58" s="4"/>
      <c r="F58" s="4"/>
      <c r="G58" s="4"/>
      <c r="H58" s="5"/>
      <c r="I58" s="5"/>
      <c r="J58" s="5"/>
      <c r="K58" s="6"/>
      <c r="L58" s="6"/>
      <c r="M58" s="6"/>
      <c r="R58" s="4"/>
      <c r="S58" s="7"/>
      <c r="T58" s="7"/>
      <c r="U58" s="28"/>
      <c r="V58" s="28"/>
      <c r="W58" s="8"/>
      <c r="X58" s="8"/>
      <c r="Y58" s="6"/>
      <c r="Z58" s="6"/>
      <c r="AA58" s="6"/>
      <c r="AB58" s="6"/>
      <c r="AC58" s="6"/>
      <c r="AD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</row>
    <row r="59" spans="2:45">
      <c r="B59" s="6"/>
      <c r="C59" s="4"/>
      <c r="D59" s="4"/>
      <c r="E59" s="4"/>
      <c r="F59" s="4"/>
      <c r="G59" s="4"/>
      <c r="H59" s="5"/>
      <c r="I59" s="5"/>
      <c r="J59" s="5"/>
      <c r="K59" s="6"/>
      <c r="L59" s="6"/>
      <c r="M59" s="6"/>
      <c r="N59" s="6"/>
      <c r="O59" s="4"/>
      <c r="P59" s="4"/>
      <c r="Q59" s="4"/>
      <c r="R59" s="4"/>
      <c r="S59" s="7"/>
      <c r="T59" s="7"/>
      <c r="U59" s="28"/>
      <c r="V59" s="28"/>
      <c r="W59" s="8"/>
      <c r="X59" s="8"/>
      <c r="Y59" s="6"/>
      <c r="AB59" s="6"/>
      <c r="AC59" s="6"/>
      <c r="AD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</row>
    <row r="60" spans="2:45">
      <c r="B60" s="6"/>
      <c r="C60" s="15"/>
      <c r="D60" s="15"/>
      <c r="E60" s="15"/>
      <c r="F60" s="15"/>
      <c r="G60" s="15"/>
      <c r="H60" s="5"/>
      <c r="I60" s="5"/>
      <c r="J60" s="5"/>
      <c r="K60" s="6"/>
      <c r="L60" s="6"/>
      <c r="M60" s="6"/>
      <c r="N60" s="6"/>
      <c r="O60" s="4"/>
      <c r="P60" s="4"/>
      <c r="Q60" s="4"/>
      <c r="R60" s="4"/>
      <c r="S60" s="7"/>
      <c r="T60" s="7"/>
      <c r="U60" s="28"/>
      <c r="V60" s="28"/>
      <c r="W60" s="8"/>
      <c r="X60" s="8"/>
      <c r="Y60" s="6"/>
      <c r="AB60" s="6"/>
      <c r="AC60" s="6"/>
      <c r="AD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</row>
    <row r="61" spans="2:45">
      <c r="B61" s="6"/>
      <c r="C61" s="9"/>
      <c r="D61" s="9"/>
      <c r="E61" s="9"/>
      <c r="F61" s="9"/>
      <c r="G61" s="9"/>
      <c r="H61" s="5"/>
      <c r="I61" s="5"/>
      <c r="J61" s="5"/>
      <c r="K61" s="6"/>
      <c r="L61" s="6"/>
      <c r="M61" s="6"/>
      <c r="N61" s="6"/>
      <c r="O61" s="4"/>
      <c r="P61" s="4"/>
      <c r="Q61" s="4"/>
      <c r="R61" s="4"/>
      <c r="S61" s="7"/>
      <c r="T61" s="7"/>
      <c r="U61" s="28"/>
      <c r="V61" s="28"/>
      <c r="W61" s="8"/>
      <c r="X61" s="8"/>
      <c r="Y61" s="6"/>
      <c r="AB61" s="6"/>
      <c r="AC61" s="6"/>
      <c r="AD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</row>
    <row r="62" spans="2:45">
      <c r="B62" s="6"/>
      <c r="C62" s="9"/>
      <c r="D62" s="9"/>
      <c r="E62" s="9"/>
      <c r="F62" s="9"/>
      <c r="G62" s="9"/>
      <c r="H62" s="5"/>
      <c r="I62" s="5"/>
      <c r="J62" s="5"/>
      <c r="K62" s="6"/>
      <c r="L62" s="6"/>
      <c r="M62" s="6"/>
      <c r="N62" s="6"/>
      <c r="O62" s="4"/>
      <c r="P62" s="4"/>
      <c r="Q62" s="4"/>
      <c r="R62" s="4"/>
      <c r="S62" s="7"/>
      <c r="T62" s="7"/>
      <c r="U62" s="28"/>
      <c r="V62" s="28"/>
      <c r="W62" s="8"/>
      <c r="X62" s="8"/>
      <c r="Y62" s="6"/>
      <c r="AB62" s="6"/>
      <c r="AC62" s="6"/>
      <c r="AD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</row>
    <row r="63" spans="2:45">
      <c r="B63" s="6"/>
      <c r="C63" s="4"/>
      <c r="D63" s="4"/>
      <c r="E63" s="4"/>
      <c r="F63" s="4"/>
      <c r="G63" s="4"/>
      <c r="H63" s="5"/>
      <c r="I63" s="5"/>
      <c r="J63" s="5"/>
      <c r="K63" s="6"/>
      <c r="L63" s="6"/>
      <c r="M63" s="6"/>
      <c r="N63" s="6"/>
      <c r="O63" s="4"/>
      <c r="P63" s="4"/>
      <c r="Q63" s="4"/>
      <c r="R63" s="4"/>
      <c r="S63" s="7"/>
      <c r="T63" s="7"/>
      <c r="U63" s="28"/>
      <c r="V63" s="28"/>
      <c r="W63" s="8"/>
      <c r="X63" s="8"/>
      <c r="Y63" s="6"/>
      <c r="AB63" s="6"/>
      <c r="AC63" s="6"/>
      <c r="AD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</row>
    <row r="64" spans="2:45">
      <c r="B64" s="6"/>
      <c r="C64" s="16"/>
      <c r="D64" s="16"/>
      <c r="E64" s="16"/>
      <c r="F64" s="16"/>
      <c r="G64" s="16"/>
      <c r="H64" s="5"/>
      <c r="I64" s="5"/>
      <c r="J64" s="5"/>
      <c r="K64" s="6"/>
      <c r="L64" s="6"/>
      <c r="M64" s="6"/>
      <c r="N64" s="6"/>
      <c r="O64" s="4"/>
      <c r="P64" s="4"/>
      <c r="Q64" s="4"/>
      <c r="R64" s="4"/>
      <c r="S64" s="7"/>
      <c r="T64" s="7"/>
      <c r="U64" s="28"/>
      <c r="V64" s="28"/>
      <c r="W64" s="8"/>
      <c r="X64" s="8"/>
      <c r="Y64" s="6"/>
      <c r="AB64" s="6"/>
      <c r="AC64" s="6"/>
      <c r="AD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</row>
    <row r="65" spans="2:45">
      <c r="B65" s="6"/>
      <c r="C65" s="16"/>
      <c r="D65" s="16"/>
      <c r="E65" s="16"/>
      <c r="F65" s="16"/>
      <c r="G65" s="16"/>
      <c r="H65" s="5"/>
      <c r="I65" s="5"/>
      <c r="J65" s="5"/>
      <c r="K65" s="6"/>
      <c r="L65" s="6"/>
      <c r="M65" s="6"/>
      <c r="N65" s="6"/>
      <c r="O65" s="4"/>
      <c r="P65" s="4"/>
      <c r="Q65" s="4"/>
      <c r="R65" s="4"/>
      <c r="S65" s="7"/>
      <c r="T65" s="7"/>
      <c r="U65" s="28"/>
      <c r="V65" s="28"/>
      <c r="W65" s="8"/>
      <c r="X65" s="8"/>
      <c r="Y65" s="6"/>
      <c r="AB65" s="6"/>
      <c r="AC65" s="6"/>
      <c r="AD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</row>
  </sheetData>
  <conditionalFormatting sqref="G2:G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:AH20 AH23:AH24 AH28:AH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:AF20 AF23:AF24 AF28:AF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:AG20 AG23:AG24 AG28:AG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:AI20 AI23:AI24 AI28:AI6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A0B6A-4634-48DE-BF4F-AEF93AD2D8AB}">
  <sheetPr codeName="Sheet2"/>
  <dimension ref="A1:P64"/>
  <sheetViews>
    <sheetView topLeftCell="A22" workbookViewId="0">
      <selection activeCell="G13" sqref="G13"/>
    </sheetView>
  </sheetViews>
  <sheetFormatPr defaultRowHeight="12.75"/>
  <cols>
    <col min="3" max="3" width="11" customWidth="1"/>
    <col min="7" max="7" width="12.140625" customWidth="1"/>
  </cols>
  <sheetData>
    <row r="1" spans="1:16">
      <c r="A1" t="s">
        <v>72</v>
      </c>
      <c r="B1" s="6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2" t="s">
        <v>6</v>
      </c>
      <c r="H1" s="3" t="s">
        <v>91</v>
      </c>
      <c r="I1" s="3" t="s">
        <v>92</v>
      </c>
      <c r="J1" s="3" t="s">
        <v>93</v>
      </c>
    </row>
    <row r="2" spans="1:16">
      <c r="A2">
        <v>5</v>
      </c>
      <c r="B2" s="6" t="s">
        <v>24</v>
      </c>
      <c r="C2" s="16">
        <v>69</v>
      </c>
      <c r="D2" s="20">
        <v>32</v>
      </c>
      <c r="E2" s="20">
        <v>19</v>
      </c>
      <c r="F2" s="20">
        <v>24</v>
      </c>
      <c r="G2" s="16">
        <v>75</v>
      </c>
      <c r="H2" s="4">
        <f>_xlfn.RANK.AVG(corrTable[[#This Row],[seg1]],corrTable[seg1],1)</f>
        <v>1.5</v>
      </c>
      <c r="I2" s="4">
        <f>_xlfn.RANK.AVG(corrTable[[#This Row],[seg2]],corrTable[seg2],1)</f>
        <v>1</v>
      </c>
      <c r="J2" s="4">
        <f>_xlfn.RANK.AVG(corrTable[[#This Row],[seg3]],corrTable[seg3],1)</f>
        <v>1</v>
      </c>
    </row>
    <row r="3" spans="1:16">
      <c r="A3">
        <v>5</v>
      </c>
      <c r="B3" s="6" t="s">
        <v>16</v>
      </c>
      <c r="C3" s="16">
        <v>74.8</v>
      </c>
      <c r="D3" s="20">
        <v>37</v>
      </c>
      <c r="E3" s="20">
        <v>20</v>
      </c>
      <c r="F3" s="20">
        <v>27</v>
      </c>
      <c r="G3" s="16">
        <v>84</v>
      </c>
      <c r="H3" s="4">
        <f>_xlfn.RANK.AVG(corrTable[[#This Row],[seg1]],corrTable[seg1],1)</f>
        <v>24.5</v>
      </c>
      <c r="I3" s="4">
        <f>_xlfn.RANK.AVG(corrTable[[#This Row],[seg2]],corrTable[seg2],1)</f>
        <v>2.5</v>
      </c>
      <c r="J3" s="4">
        <f>_xlfn.RANK.AVG(corrTable[[#This Row],[seg3]],corrTable[seg3],1)</f>
        <v>3.5</v>
      </c>
      <c r="L3" s="14" t="s">
        <v>94</v>
      </c>
    </row>
    <row r="4" spans="1:16">
      <c r="A4">
        <v>5</v>
      </c>
      <c r="B4" s="6" t="s">
        <v>34</v>
      </c>
      <c r="C4" s="4">
        <v>87.6</v>
      </c>
      <c r="D4" s="19">
        <v>34</v>
      </c>
      <c r="E4" s="19">
        <v>24</v>
      </c>
      <c r="F4" s="19">
        <v>28</v>
      </c>
      <c r="G4" s="4">
        <v>86</v>
      </c>
      <c r="H4" s="4">
        <f>_xlfn.RANK.AVG(corrTable[[#This Row],[seg1]],corrTable[seg1],1)</f>
        <v>6</v>
      </c>
      <c r="I4" s="4">
        <f>_xlfn.RANK.AVG(corrTable[[#This Row],[seg2]],corrTable[seg2],1)</f>
        <v>7.5</v>
      </c>
      <c r="J4" s="4">
        <f>_xlfn.RANK.AVG(corrTable[[#This Row],[seg3]],corrTable[seg3],1)</f>
        <v>5.5</v>
      </c>
      <c r="M4" t="s">
        <v>3</v>
      </c>
      <c r="N4" t="s">
        <v>4</v>
      </c>
      <c r="O4" t="s">
        <v>5</v>
      </c>
    </row>
    <row r="5" spans="1:16">
      <c r="A5">
        <v>5</v>
      </c>
      <c r="B5" s="6" t="s">
        <v>38</v>
      </c>
      <c r="C5" s="4">
        <v>87.9</v>
      </c>
      <c r="D5" s="19">
        <v>36</v>
      </c>
      <c r="E5" s="19">
        <v>20</v>
      </c>
      <c r="F5" s="19">
        <v>30</v>
      </c>
      <c r="G5" s="4">
        <v>86</v>
      </c>
      <c r="H5" s="4">
        <f>_xlfn.RANK.AVG(corrTable[[#This Row],[seg1]],corrTable[seg1],1)</f>
        <v>17.5</v>
      </c>
      <c r="I5" s="4">
        <f>_xlfn.RANK.AVG(corrTable[[#This Row],[seg2]],corrTable[seg2],1)</f>
        <v>2.5</v>
      </c>
      <c r="J5" s="4">
        <f>_xlfn.RANK.AVG(corrTable[[#This Row],[seg3]],corrTable[seg3],1)</f>
        <v>11</v>
      </c>
      <c r="L5" t="s">
        <v>3</v>
      </c>
      <c r="M5">
        <v>1</v>
      </c>
      <c r="N5">
        <f>PEARSON(corrTable[seg1],corrTable[seg2])</f>
        <v>0.37446921529405192</v>
      </c>
      <c r="O5">
        <f>PEARSON(corrTable[seg1],corrTable[seg3])</f>
        <v>0.34205365897024331</v>
      </c>
      <c r="P5" t="s">
        <v>96</v>
      </c>
    </row>
    <row r="6" spans="1:16">
      <c r="A6">
        <v>5</v>
      </c>
      <c r="B6" s="6" t="s">
        <v>32</v>
      </c>
      <c r="C6" s="4">
        <v>84.6</v>
      </c>
      <c r="D6" s="19">
        <v>32</v>
      </c>
      <c r="E6" s="19">
        <v>24</v>
      </c>
      <c r="F6" s="19">
        <v>31</v>
      </c>
      <c r="G6" s="4">
        <v>87</v>
      </c>
      <c r="H6" s="4">
        <f>_xlfn.RANK.AVG(corrTable[[#This Row],[seg1]],corrTable[seg1],1)</f>
        <v>1.5</v>
      </c>
      <c r="I6" s="4">
        <f>_xlfn.RANK.AVG(corrTable[[#This Row],[seg2]],corrTable[seg2],1)</f>
        <v>7.5</v>
      </c>
      <c r="J6" s="4">
        <f>_xlfn.RANK.AVG(corrTable[[#This Row],[seg3]],corrTable[seg3],1)</f>
        <v>13</v>
      </c>
      <c r="L6" t="s">
        <v>4</v>
      </c>
      <c r="M6">
        <f>PEARSON(corrTable[seg1rank],corrTable[seg2rank])</f>
        <v>0.35623647251365409</v>
      </c>
      <c r="N6">
        <v>1</v>
      </c>
      <c r="O6">
        <f>PEARSON(corrTable[seg2],corrTable[seg3])</f>
        <v>0.65374014676473491</v>
      </c>
    </row>
    <row r="7" spans="1:16">
      <c r="A7">
        <v>5</v>
      </c>
      <c r="B7" s="6" t="s">
        <v>22</v>
      </c>
      <c r="C7" s="15">
        <v>78.3</v>
      </c>
      <c r="D7" s="20">
        <v>34</v>
      </c>
      <c r="E7" s="20">
        <v>25</v>
      </c>
      <c r="F7" s="20">
        <v>29</v>
      </c>
      <c r="G7" s="15">
        <v>88</v>
      </c>
      <c r="H7" s="4">
        <f>_xlfn.RANK.AVG(corrTable[[#This Row],[seg1]],corrTable[seg1],1)</f>
        <v>6</v>
      </c>
      <c r="I7" s="4">
        <f>_xlfn.RANK.AVG(corrTable[[#This Row],[seg2]],corrTable[seg2],1)</f>
        <v>10</v>
      </c>
      <c r="J7" s="4">
        <f>_xlfn.RANK.AVG(corrTable[[#This Row],[seg3]],corrTable[seg3],1)</f>
        <v>8</v>
      </c>
      <c r="L7" t="s">
        <v>5</v>
      </c>
      <c r="M7">
        <f>PEARSON(corrTable[seg1rank],corrTable[seg3rank])</f>
        <v>0.39152307523136298</v>
      </c>
      <c r="N7">
        <f>PEARSON(corrTable[seg2rank],corrTable[seg3rank])</f>
        <v>0.62616746652042088</v>
      </c>
      <c r="O7">
        <v>1</v>
      </c>
    </row>
    <row r="8" spans="1:16">
      <c r="A8">
        <v>5</v>
      </c>
      <c r="B8" t="s">
        <v>90</v>
      </c>
      <c r="C8" s="15">
        <v>76.400000000000006</v>
      </c>
      <c r="D8" s="20">
        <v>36</v>
      </c>
      <c r="E8" s="20">
        <v>23</v>
      </c>
      <c r="F8" s="20">
        <v>30</v>
      </c>
      <c r="G8" s="15">
        <v>89</v>
      </c>
      <c r="H8" s="4">
        <f>_xlfn.RANK.AVG(corrTable[[#This Row],[seg1]],corrTable[seg1],1)</f>
        <v>17.5</v>
      </c>
      <c r="I8" s="4">
        <f>_xlfn.RANK.AVG(corrTable[[#This Row],[seg2]],corrTable[seg2],1)</f>
        <v>6</v>
      </c>
      <c r="J8" s="4">
        <f>_xlfn.RANK.AVG(corrTable[[#This Row],[seg3]],corrTable[seg3],1)</f>
        <v>11</v>
      </c>
      <c r="M8" t="s">
        <v>95</v>
      </c>
    </row>
    <row r="9" spans="1:16">
      <c r="A9">
        <v>5</v>
      </c>
      <c r="B9" s="6" t="s">
        <v>101</v>
      </c>
      <c r="C9" s="4">
        <v>86.8</v>
      </c>
      <c r="D9" s="19">
        <v>36</v>
      </c>
      <c r="E9" s="19">
        <v>21</v>
      </c>
      <c r="F9" s="19">
        <v>32</v>
      </c>
      <c r="G9" s="4">
        <v>89</v>
      </c>
      <c r="H9" s="4">
        <f>_xlfn.RANK.AVG(corrTable[[#This Row],[seg1]],corrTable[seg1],1)</f>
        <v>17.5</v>
      </c>
      <c r="I9" s="4">
        <f>_xlfn.RANK.AVG(corrTable[[#This Row],[seg2]],corrTable[seg2],1)</f>
        <v>4</v>
      </c>
      <c r="J9" s="4">
        <f>_xlfn.RANK.AVG(corrTable[[#This Row],[seg3]],corrTable[seg3],1)</f>
        <v>15.5</v>
      </c>
    </row>
    <row r="10" spans="1:16">
      <c r="A10">
        <v>5</v>
      </c>
      <c r="B10" s="6" t="s">
        <v>30</v>
      </c>
      <c r="C10" s="4">
        <v>97.4</v>
      </c>
      <c r="D10" s="19">
        <v>34</v>
      </c>
      <c r="E10" s="19">
        <v>22</v>
      </c>
      <c r="F10" s="19">
        <v>33</v>
      </c>
      <c r="G10" s="4">
        <v>89</v>
      </c>
      <c r="H10" s="4">
        <f>_xlfn.RANK.AVG(corrTable[[#This Row],[seg1]],corrTable[seg1],1)</f>
        <v>6</v>
      </c>
      <c r="I10" s="4">
        <f>_xlfn.RANK.AVG(corrTable[[#This Row],[seg2]],corrTable[seg2],1)</f>
        <v>5</v>
      </c>
      <c r="J10" s="4">
        <f>_xlfn.RANK.AVG(corrTable[[#This Row],[seg3]],corrTable[seg3],1)</f>
        <v>18.5</v>
      </c>
      <c r="L10" s="14" t="s">
        <v>98</v>
      </c>
    </row>
    <row r="11" spans="1:16">
      <c r="A11">
        <v>5</v>
      </c>
      <c r="B11" s="6" t="s">
        <v>14</v>
      </c>
      <c r="C11" s="15">
        <v>86.4</v>
      </c>
      <c r="D11" s="20">
        <v>35</v>
      </c>
      <c r="E11" s="20">
        <v>29</v>
      </c>
      <c r="F11" s="20">
        <v>27</v>
      </c>
      <c r="G11" s="15">
        <v>91</v>
      </c>
      <c r="H11" s="4">
        <f>_xlfn.RANK.AVG(corrTable[[#This Row],[seg1]],corrTable[seg1],1)</f>
        <v>11.5</v>
      </c>
      <c r="I11" s="4">
        <f>_xlfn.RANK.AVG(corrTable[[#This Row],[seg2]],corrTable[seg2],1)</f>
        <v>21</v>
      </c>
      <c r="J11" s="4">
        <f>_xlfn.RANK.AVG(corrTable[[#This Row],[seg3]],corrTable[seg3],1)</f>
        <v>3.5</v>
      </c>
      <c r="M11" t="s">
        <v>3</v>
      </c>
      <c r="N11" t="s">
        <v>4</v>
      </c>
      <c r="O11" t="s">
        <v>5</v>
      </c>
    </row>
    <row r="12" spans="1:16">
      <c r="A12">
        <v>5</v>
      </c>
      <c r="B12" s="6" t="s">
        <v>26</v>
      </c>
      <c r="C12" s="9">
        <v>90.3</v>
      </c>
      <c r="D12" s="19">
        <v>40</v>
      </c>
      <c r="E12" s="19">
        <v>28</v>
      </c>
      <c r="F12" s="19">
        <v>25</v>
      </c>
      <c r="G12" s="9">
        <v>93</v>
      </c>
      <c r="H12" s="4">
        <f>_xlfn.RANK.AVG(corrTable[[#This Row],[seg1]],corrTable[seg1],1)</f>
        <v>43</v>
      </c>
      <c r="I12" s="4">
        <f>_xlfn.RANK.AVG(corrTable[[#This Row],[seg2]],corrTable[seg2],1)</f>
        <v>17.5</v>
      </c>
      <c r="J12" s="4">
        <f>_xlfn.RANK.AVG(corrTable[[#This Row],[seg3]],corrTable[seg3],1)</f>
        <v>2</v>
      </c>
      <c r="L12" t="s">
        <v>3</v>
      </c>
      <c r="M12">
        <v>1</v>
      </c>
      <c r="N12">
        <f>PEARSON(corrTable[seg1],corrTable[seg2])</f>
        <v>0.37446921529405192</v>
      </c>
      <c r="O12">
        <f>PEARSON(corrTable[seg1],corrTable[seg3])</f>
        <v>0.34205365897024331</v>
      </c>
      <c r="P12" t="s">
        <v>96</v>
      </c>
    </row>
    <row r="13" spans="1:16">
      <c r="A13">
        <v>5</v>
      </c>
      <c r="B13" s="6" t="s">
        <v>28</v>
      </c>
      <c r="C13" s="9">
        <v>91.8</v>
      </c>
      <c r="D13" s="19">
        <v>36</v>
      </c>
      <c r="E13" s="19">
        <v>28</v>
      </c>
      <c r="F13" s="19">
        <v>29</v>
      </c>
      <c r="G13" s="9">
        <v>93</v>
      </c>
      <c r="H13" s="4">
        <f>_xlfn.RANK.AVG(corrTable[[#This Row],[seg1]],corrTable[seg1],1)</f>
        <v>17.5</v>
      </c>
      <c r="I13" s="4">
        <f>_xlfn.RANK.AVG(corrTable[[#This Row],[seg2]],corrTable[seg2],1)</f>
        <v>17.5</v>
      </c>
      <c r="J13" s="4">
        <f>_xlfn.RANK.AVG(corrTable[[#This Row],[seg3]],corrTable[seg3],1)</f>
        <v>8</v>
      </c>
      <c r="L13" t="s">
        <v>4</v>
      </c>
      <c r="M13">
        <f>PEARSON(corrTable[seg1rank],corrTable[seg2rank])</f>
        <v>0.35623647251365409</v>
      </c>
      <c r="N13">
        <v>1</v>
      </c>
      <c r="O13">
        <f>PEARSON(corrTable[seg2],corrTable[seg3])</f>
        <v>0.65374014676473491</v>
      </c>
    </row>
    <row r="14" spans="1:16">
      <c r="A14">
        <v>5</v>
      </c>
      <c r="B14" s="6" t="s">
        <v>36</v>
      </c>
      <c r="C14" s="4">
        <v>82</v>
      </c>
      <c r="D14" s="19">
        <v>33</v>
      </c>
      <c r="E14" s="19">
        <v>26</v>
      </c>
      <c r="F14" s="19">
        <v>34</v>
      </c>
      <c r="G14" s="4">
        <v>93</v>
      </c>
      <c r="H14" s="4">
        <f>_xlfn.RANK.AVG(corrTable[[#This Row],[seg1]],corrTable[seg1],1)</f>
        <v>3</v>
      </c>
      <c r="I14" s="4">
        <f>_xlfn.RANK.AVG(corrTable[[#This Row],[seg2]],corrTable[seg2],1)</f>
        <v>12.5</v>
      </c>
      <c r="J14" s="4">
        <f>_xlfn.RANK.AVG(corrTable[[#This Row],[seg3]],corrTable[seg3],1)</f>
        <v>20.5</v>
      </c>
      <c r="L14" t="s">
        <v>5</v>
      </c>
      <c r="M14">
        <f>PEARSON(corrTable[seg1rank],corrTable[seg3rank])</f>
        <v>0.39152307523136298</v>
      </c>
      <c r="N14">
        <f>PEARSON(corrTable[seg2rank],corrTable[seg3rank])</f>
        <v>0.62616746652042088</v>
      </c>
      <c r="O14">
        <v>1</v>
      </c>
    </row>
    <row r="15" spans="1:16">
      <c r="A15">
        <v>5</v>
      </c>
      <c r="B15" s="6" t="s">
        <v>20</v>
      </c>
      <c r="C15" s="16">
        <v>88.6</v>
      </c>
      <c r="D15" s="20">
        <v>40</v>
      </c>
      <c r="E15" s="20">
        <v>27</v>
      </c>
      <c r="F15" s="20">
        <v>28</v>
      </c>
      <c r="G15" s="16">
        <v>95</v>
      </c>
      <c r="H15" s="4">
        <f>_xlfn.RANK.AVG(corrTable[[#This Row],[seg1]],corrTable[seg1],1)</f>
        <v>43</v>
      </c>
      <c r="I15" s="4">
        <f>_xlfn.RANK.AVG(corrTable[[#This Row],[seg2]],corrTable[seg2],1)</f>
        <v>14.5</v>
      </c>
      <c r="J15" s="4">
        <f>_xlfn.RANK.AVG(corrTable[[#This Row],[seg3]],corrTable[seg3],1)</f>
        <v>5.5</v>
      </c>
      <c r="M15" t="s">
        <v>95</v>
      </c>
    </row>
    <row r="16" spans="1:16">
      <c r="A16">
        <v>2</v>
      </c>
      <c r="B16" s="6" t="s">
        <v>24</v>
      </c>
      <c r="C16" s="16">
        <v>99.8</v>
      </c>
      <c r="D16" s="20">
        <v>37</v>
      </c>
      <c r="E16" s="20">
        <v>28</v>
      </c>
      <c r="F16" s="20">
        <v>32</v>
      </c>
      <c r="G16" s="16">
        <v>97</v>
      </c>
      <c r="H16" s="4">
        <f>_xlfn.RANK.AVG(corrTable[[#This Row],[seg1]],corrTable[seg1],1)</f>
        <v>24.5</v>
      </c>
      <c r="I16" s="4">
        <f>_xlfn.RANK.AVG(corrTable[[#This Row],[seg2]],corrTable[seg2],1)</f>
        <v>17.5</v>
      </c>
      <c r="J16" s="4">
        <f>_xlfn.RANK.AVG(corrTable[[#This Row],[seg3]],corrTable[seg3],1)</f>
        <v>15.5</v>
      </c>
    </row>
    <row r="17" spans="1:10">
      <c r="A17">
        <v>2</v>
      </c>
      <c r="B17" s="6" t="s">
        <v>22</v>
      </c>
      <c r="C17" s="15">
        <v>96.4</v>
      </c>
      <c r="D17" s="20">
        <v>37</v>
      </c>
      <c r="E17" s="20">
        <v>33</v>
      </c>
      <c r="F17" s="20">
        <v>29</v>
      </c>
      <c r="G17" s="15">
        <v>99</v>
      </c>
      <c r="H17" s="4">
        <f>_xlfn.RANK.AVG(corrTable[[#This Row],[seg1]],corrTable[seg1],1)</f>
        <v>24.5</v>
      </c>
      <c r="I17" s="4">
        <f>_xlfn.RANK.AVG(corrTable[[#This Row],[seg2]],corrTable[seg2],1)</f>
        <v>32.5</v>
      </c>
      <c r="J17" s="4">
        <f>_xlfn.RANK.AVG(corrTable[[#This Row],[seg3]],corrTable[seg3],1)</f>
        <v>8</v>
      </c>
    </row>
    <row r="18" spans="1:10">
      <c r="A18">
        <v>4</v>
      </c>
      <c r="B18" s="6" t="s">
        <v>24</v>
      </c>
      <c r="C18" s="16">
        <v>97.9</v>
      </c>
      <c r="D18" s="20">
        <v>34</v>
      </c>
      <c r="E18" s="20">
        <v>35</v>
      </c>
      <c r="F18" s="20">
        <v>30</v>
      </c>
      <c r="G18" s="16">
        <v>99</v>
      </c>
      <c r="H18" s="4">
        <f>_xlfn.RANK.AVG(corrTable[[#This Row],[seg1]],corrTable[seg1],1)</f>
        <v>6</v>
      </c>
      <c r="I18" s="4">
        <f>_xlfn.RANK.AVG(corrTable[[#This Row],[seg2]],corrTable[seg2],1)</f>
        <v>45.5</v>
      </c>
      <c r="J18" s="4">
        <f>_xlfn.RANK.AVG(corrTable[[#This Row],[seg3]],corrTable[seg3],1)</f>
        <v>11</v>
      </c>
    </row>
    <row r="19" spans="1:10">
      <c r="A19">
        <v>5</v>
      </c>
      <c r="B19" s="6" t="s">
        <v>18</v>
      </c>
      <c r="C19" s="16">
        <v>81.099999999999994</v>
      </c>
      <c r="D19" s="20">
        <v>38</v>
      </c>
      <c r="E19" s="20">
        <v>27</v>
      </c>
      <c r="F19" s="20">
        <v>34</v>
      </c>
      <c r="G19" s="16">
        <v>99</v>
      </c>
      <c r="H19" s="4">
        <f>_xlfn.RANK.AVG(corrTable[[#This Row],[seg1]],corrTable[seg1],1)</f>
        <v>31.5</v>
      </c>
      <c r="I19" s="4">
        <f>_xlfn.RANK.AVG(corrTable[[#This Row],[seg2]],corrTable[seg2],1)</f>
        <v>14.5</v>
      </c>
      <c r="J19" s="4">
        <f>_xlfn.RANK.AVG(corrTable[[#This Row],[seg3]],corrTable[seg3],1)</f>
        <v>20.5</v>
      </c>
    </row>
    <row r="20" spans="1:10">
      <c r="A20">
        <v>2</v>
      </c>
      <c r="B20" s="6" t="s">
        <v>34</v>
      </c>
      <c r="C20" s="4">
        <v>100</v>
      </c>
      <c r="D20" s="19">
        <v>36</v>
      </c>
      <c r="E20" s="19">
        <v>28</v>
      </c>
      <c r="F20" s="19">
        <v>37</v>
      </c>
      <c r="G20" s="4">
        <v>101</v>
      </c>
      <c r="H20" s="4">
        <f>_xlfn.RANK.AVG(corrTable[[#This Row],[seg1]],corrTable[seg1],1)</f>
        <v>17.5</v>
      </c>
      <c r="I20" s="4">
        <f>_xlfn.RANK.AVG(corrTable[[#This Row],[seg2]],corrTable[seg2],1)</f>
        <v>17.5</v>
      </c>
      <c r="J20" s="4">
        <f>_xlfn.RANK.AVG(corrTable[[#This Row],[seg3]],corrTable[seg3],1)</f>
        <v>33</v>
      </c>
    </row>
    <row r="21" spans="1:10">
      <c r="A21">
        <v>4</v>
      </c>
      <c r="B21" t="s">
        <v>89</v>
      </c>
      <c r="C21" s="15">
        <v>104.5</v>
      </c>
      <c r="D21" s="20">
        <v>44</v>
      </c>
      <c r="E21" s="20">
        <v>25</v>
      </c>
      <c r="F21" s="20">
        <v>32</v>
      </c>
      <c r="G21" s="15">
        <v>101</v>
      </c>
      <c r="H21" s="4">
        <f>_xlfn.RANK.AVG(corrTable[[#This Row],[seg1]],corrTable[seg1],1)</f>
        <v>54.5</v>
      </c>
      <c r="I21" s="4">
        <f>_xlfn.RANK.AVG(corrTable[[#This Row],[seg2]],corrTable[seg2],1)</f>
        <v>10</v>
      </c>
      <c r="J21" s="4">
        <f>_xlfn.RANK.AVG(corrTable[[#This Row],[seg3]],corrTable[seg3],1)</f>
        <v>15.5</v>
      </c>
    </row>
    <row r="22" spans="1:10">
      <c r="A22">
        <v>2</v>
      </c>
      <c r="B22" s="6" t="s">
        <v>30</v>
      </c>
      <c r="C22" s="4">
        <v>101.2</v>
      </c>
      <c r="D22" s="19">
        <v>37</v>
      </c>
      <c r="E22" s="19">
        <v>32</v>
      </c>
      <c r="F22" s="19">
        <v>33</v>
      </c>
      <c r="G22" s="4">
        <v>102</v>
      </c>
      <c r="H22" s="4">
        <f>_xlfn.RANK.AVG(corrTable[[#This Row],[seg1]],corrTable[seg1],1)</f>
        <v>24.5</v>
      </c>
      <c r="I22" s="4">
        <f>_xlfn.RANK.AVG(corrTable[[#This Row],[seg2]],corrTable[seg2],1)</f>
        <v>26.5</v>
      </c>
      <c r="J22" s="4">
        <f>_xlfn.RANK.AVG(corrTable[[#This Row],[seg3]],corrTable[seg3],1)</f>
        <v>18.5</v>
      </c>
    </row>
    <row r="23" spans="1:10">
      <c r="A23">
        <v>2</v>
      </c>
      <c r="B23" s="6" t="s">
        <v>38</v>
      </c>
      <c r="C23" s="4">
        <v>104</v>
      </c>
      <c r="D23" s="19">
        <v>39</v>
      </c>
      <c r="E23" s="19">
        <v>26</v>
      </c>
      <c r="F23" s="19">
        <v>39</v>
      </c>
      <c r="G23" s="4">
        <v>104</v>
      </c>
      <c r="H23" s="4">
        <f>_xlfn.RANK.AVG(corrTable[[#This Row],[seg1]],corrTable[seg1],1)</f>
        <v>36.5</v>
      </c>
      <c r="I23" s="4">
        <f>_xlfn.RANK.AVG(corrTable[[#This Row],[seg2]],corrTable[seg2],1)</f>
        <v>12.5</v>
      </c>
      <c r="J23" s="4">
        <f>_xlfn.RANK.AVG(corrTable[[#This Row],[seg3]],corrTable[seg3],1)</f>
        <v>42</v>
      </c>
    </row>
    <row r="24" spans="1:10">
      <c r="A24">
        <v>4</v>
      </c>
      <c r="B24" s="6" t="s">
        <v>38</v>
      </c>
      <c r="C24" s="4">
        <v>105.2</v>
      </c>
      <c r="D24" s="19">
        <v>40</v>
      </c>
      <c r="E24" s="19">
        <v>29</v>
      </c>
      <c r="F24" s="19">
        <v>35</v>
      </c>
      <c r="G24" s="4">
        <v>104</v>
      </c>
      <c r="H24" s="4">
        <f>_xlfn.RANK.AVG(corrTable[[#This Row],[seg1]],corrTable[seg1],1)</f>
        <v>43</v>
      </c>
      <c r="I24" s="4">
        <f>_xlfn.RANK.AVG(corrTable[[#This Row],[seg2]],corrTable[seg2],1)</f>
        <v>21</v>
      </c>
      <c r="J24" s="4">
        <f>_xlfn.RANK.AVG(corrTable[[#This Row],[seg3]],corrTable[seg3],1)</f>
        <v>24</v>
      </c>
    </row>
    <row r="25" spans="1:10">
      <c r="A25">
        <v>3</v>
      </c>
      <c r="B25" s="6" t="s">
        <v>24</v>
      </c>
      <c r="C25" s="16">
        <v>109.2</v>
      </c>
      <c r="D25" s="20">
        <v>35</v>
      </c>
      <c r="E25" s="20">
        <v>34</v>
      </c>
      <c r="F25" s="20">
        <v>36</v>
      </c>
      <c r="G25" s="16">
        <v>105</v>
      </c>
      <c r="H25" s="4">
        <f>_xlfn.RANK.AVG(corrTable[[#This Row],[seg1]],corrTable[seg1],1)</f>
        <v>11.5</v>
      </c>
      <c r="I25" s="4">
        <f>_xlfn.RANK.AVG(corrTable[[#This Row],[seg2]],corrTable[seg2],1)</f>
        <v>40</v>
      </c>
      <c r="J25" s="4">
        <f>_xlfn.RANK.AVG(corrTable[[#This Row],[seg3]],corrTable[seg3],1)</f>
        <v>28.5</v>
      </c>
    </row>
    <row r="26" spans="1:10">
      <c r="A26">
        <v>2</v>
      </c>
      <c r="B26" s="6" t="s">
        <v>32</v>
      </c>
      <c r="C26" s="4">
        <v>104.1</v>
      </c>
      <c r="D26" s="19">
        <v>35</v>
      </c>
      <c r="E26" s="19">
        <v>33</v>
      </c>
      <c r="F26" s="19">
        <v>38</v>
      </c>
      <c r="G26" s="4">
        <v>106</v>
      </c>
      <c r="H26" s="4">
        <f>_xlfn.RANK.AVG(corrTable[[#This Row],[seg1]],corrTable[seg1],1)</f>
        <v>11.5</v>
      </c>
      <c r="I26" s="4">
        <f>_xlfn.RANK.AVG(corrTable[[#This Row],[seg2]],corrTable[seg2],1)</f>
        <v>32.5</v>
      </c>
      <c r="J26" s="4">
        <f>_xlfn.RANK.AVG(corrTable[[#This Row],[seg3]],corrTable[seg3],1)</f>
        <v>38</v>
      </c>
    </row>
    <row r="27" spans="1:10">
      <c r="A27">
        <v>4</v>
      </c>
      <c r="B27" s="6" t="s">
        <v>34</v>
      </c>
      <c r="C27" s="4">
        <v>106.9</v>
      </c>
      <c r="D27" s="19">
        <v>37</v>
      </c>
      <c r="E27" s="19">
        <v>32</v>
      </c>
      <c r="F27" s="19">
        <v>37</v>
      </c>
      <c r="G27" s="4">
        <v>106</v>
      </c>
      <c r="H27" s="4">
        <f>_xlfn.RANK.AVG(corrTable[[#This Row],[seg1]],corrTable[seg1],1)</f>
        <v>24.5</v>
      </c>
      <c r="I27" s="4">
        <f>_xlfn.RANK.AVG(corrTable[[#This Row],[seg2]],corrTable[seg2],1)</f>
        <v>26.5</v>
      </c>
      <c r="J27" s="4">
        <f>_xlfn.RANK.AVG(corrTable[[#This Row],[seg3]],corrTable[seg3],1)</f>
        <v>33</v>
      </c>
    </row>
    <row r="28" spans="1:10">
      <c r="A28">
        <v>2</v>
      </c>
      <c r="B28" s="6" t="s">
        <v>16</v>
      </c>
      <c r="C28" s="16">
        <v>102.9</v>
      </c>
      <c r="D28" s="20">
        <v>40</v>
      </c>
      <c r="E28" s="20">
        <v>31</v>
      </c>
      <c r="F28" s="20">
        <v>36</v>
      </c>
      <c r="G28" s="16">
        <v>107</v>
      </c>
      <c r="H28" s="4">
        <f>_xlfn.RANK.AVG(corrTable[[#This Row],[seg1]],corrTable[seg1],1)</f>
        <v>43</v>
      </c>
      <c r="I28" s="4">
        <f>_xlfn.RANK.AVG(corrTable[[#This Row],[seg2]],corrTable[seg2],1)</f>
        <v>23.5</v>
      </c>
      <c r="J28" s="4">
        <f>_xlfn.RANK.AVG(corrTable[[#This Row],[seg3]],corrTable[seg3],1)</f>
        <v>28.5</v>
      </c>
    </row>
    <row r="29" spans="1:10">
      <c r="A29">
        <v>2</v>
      </c>
      <c r="B29" s="6" t="s">
        <v>101</v>
      </c>
      <c r="C29" s="4">
        <v>104.4</v>
      </c>
      <c r="D29" s="19">
        <v>35</v>
      </c>
      <c r="E29" s="19">
        <v>34</v>
      </c>
      <c r="F29" s="19">
        <v>38</v>
      </c>
      <c r="G29" s="4">
        <v>107</v>
      </c>
      <c r="H29" s="4">
        <f>_xlfn.RANK.AVG(corrTable[[#This Row],[seg1]],corrTable[seg1],1)</f>
        <v>11.5</v>
      </c>
      <c r="I29" s="4">
        <f>_xlfn.RANK.AVG(corrTable[[#This Row],[seg2]],corrTable[seg2],1)</f>
        <v>40</v>
      </c>
      <c r="J29" s="4">
        <f>_xlfn.RANK.AVG(corrTable[[#This Row],[seg3]],corrTable[seg3],1)</f>
        <v>38</v>
      </c>
    </row>
    <row r="30" spans="1:10">
      <c r="A30">
        <v>4</v>
      </c>
      <c r="B30" s="6" t="s">
        <v>30</v>
      </c>
      <c r="C30" s="4">
        <v>111.6</v>
      </c>
      <c r="D30" s="19">
        <v>37</v>
      </c>
      <c r="E30" s="19">
        <v>38</v>
      </c>
      <c r="F30" s="19">
        <v>32</v>
      </c>
      <c r="G30" s="4">
        <v>107</v>
      </c>
      <c r="H30" s="4">
        <f>_xlfn.RANK.AVG(corrTable[[#This Row],[seg1]],corrTable[seg1],1)</f>
        <v>24.5</v>
      </c>
      <c r="I30" s="4">
        <f>_xlfn.RANK.AVG(corrTable[[#This Row],[seg2]],corrTable[seg2],1)</f>
        <v>55.5</v>
      </c>
      <c r="J30" s="4">
        <f>_xlfn.RANK.AVG(corrTable[[#This Row],[seg3]],corrTable[seg3],1)</f>
        <v>15.5</v>
      </c>
    </row>
    <row r="31" spans="1:10">
      <c r="A31">
        <v>4</v>
      </c>
      <c r="B31" s="6" t="s">
        <v>36</v>
      </c>
      <c r="C31" s="4">
        <v>107.2</v>
      </c>
      <c r="D31" s="19">
        <v>36</v>
      </c>
      <c r="E31" s="19">
        <v>34</v>
      </c>
      <c r="F31" s="19">
        <v>37</v>
      </c>
      <c r="G31" s="4">
        <v>107</v>
      </c>
      <c r="H31" s="4">
        <f>_xlfn.RANK.AVG(corrTable[[#This Row],[seg1]],corrTable[seg1],1)</f>
        <v>17.5</v>
      </c>
      <c r="I31" s="4">
        <f>_xlfn.RANK.AVG(corrTable[[#This Row],[seg2]],corrTable[seg2],1)</f>
        <v>40</v>
      </c>
      <c r="J31" s="4">
        <f>_xlfn.RANK.AVG(corrTable[[#This Row],[seg3]],corrTable[seg3],1)</f>
        <v>33</v>
      </c>
    </row>
    <row r="32" spans="1:10">
      <c r="A32">
        <v>2</v>
      </c>
      <c r="B32" s="6" t="s">
        <v>14</v>
      </c>
      <c r="C32" s="4">
        <v>103.6</v>
      </c>
      <c r="D32" s="19">
        <v>38</v>
      </c>
      <c r="E32" s="19">
        <v>35</v>
      </c>
      <c r="F32" s="19">
        <v>35</v>
      </c>
      <c r="G32" s="4">
        <v>108</v>
      </c>
      <c r="H32" s="4">
        <f>_xlfn.RANK.AVG(corrTable[[#This Row],[seg1]],corrTable[seg1],1)</f>
        <v>31.5</v>
      </c>
      <c r="I32" s="4">
        <f>_xlfn.RANK.AVG(corrTable[[#This Row],[seg2]],corrTable[seg2],1)</f>
        <v>45.5</v>
      </c>
      <c r="J32" s="4">
        <f>_xlfn.RANK.AVG(corrTable[[#This Row],[seg3]],corrTable[seg3],1)</f>
        <v>24</v>
      </c>
    </row>
    <row r="33" spans="1:10">
      <c r="A33">
        <v>2</v>
      </c>
      <c r="B33" s="6" t="s">
        <v>18</v>
      </c>
      <c r="C33" s="16">
        <v>104.2</v>
      </c>
      <c r="D33" s="20">
        <v>40</v>
      </c>
      <c r="E33" s="20">
        <v>34</v>
      </c>
      <c r="F33" s="20">
        <v>35</v>
      </c>
      <c r="G33" s="16">
        <v>109</v>
      </c>
      <c r="H33" s="4">
        <f>_xlfn.RANK.AVG(corrTable[[#This Row],[seg1]],corrTable[seg1],1)</f>
        <v>43</v>
      </c>
      <c r="I33" s="4">
        <f>_xlfn.RANK.AVG(corrTable[[#This Row],[seg2]],corrTable[seg2],1)</f>
        <v>40</v>
      </c>
      <c r="J33" s="4">
        <f>_xlfn.RANK.AVG(corrTable[[#This Row],[seg3]],corrTable[seg3],1)</f>
        <v>24</v>
      </c>
    </row>
    <row r="34" spans="1:10">
      <c r="A34">
        <v>4</v>
      </c>
      <c r="B34" s="6" t="s">
        <v>101</v>
      </c>
      <c r="C34" s="4">
        <v>109.5</v>
      </c>
      <c r="D34" s="19">
        <v>38</v>
      </c>
      <c r="E34" s="19">
        <v>36</v>
      </c>
      <c r="F34" s="19">
        <v>35</v>
      </c>
      <c r="G34" s="4">
        <v>109</v>
      </c>
      <c r="H34" s="4">
        <f>_xlfn.RANK.AVG(corrTable[[#This Row],[seg1]],corrTable[seg1],1)</f>
        <v>31.5</v>
      </c>
      <c r="I34" s="4">
        <f>_xlfn.RANK.AVG(corrTable[[#This Row],[seg2]],corrTable[seg2],1)</f>
        <v>49.5</v>
      </c>
      <c r="J34" s="4">
        <f>_xlfn.RANK.AVG(corrTable[[#This Row],[seg3]],corrTable[seg3],1)</f>
        <v>24</v>
      </c>
    </row>
    <row r="35" spans="1:10">
      <c r="A35">
        <v>3</v>
      </c>
      <c r="B35" s="6" t="s">
        <v>34</v>
      </c>
      <c r="C35" s="4">
        <v>112.5</v>
      </c>
      <c r="D35" s="19">
        <v>35</v>
      </c>
      <c r="E35" s="19">
        <v>35</v>
      </c>
      <c r="F35" s="19">
        <v>40</v>
      </c>
      <c r="G35" s="4">
        <v>110</v>
      </c>
      <c r="H35" s="4">
        <f>_xlfn.RANK.AVG(corrTable[[#This Row],[seg1]],corrTable[seg1],1)</f>
        <v>11.5</v>
      </c>
      <c r="I35" s="4">
        <f>_xlfn.RANK.AVG(corrTable[[#This Row],[seg2]],corrTable[seg2],1)</f>
        <v>45.5</v>
      </c>
      <c r="J35" s="4">
        <f>_xlfn.RANK.AVG(corrTable[[#This Row],[seg3]],corrTable[seg3],1)</f>
        <v>45.5</v>
      </c>
    </row>
    <row r="36" spans="1:10">
      <c r="A36">
        <v>2</v>
      </c>
      <c r="B36" s="6" t="s">
        <v>28</v>
      </c>
      <c r="C36" s="9">
        <v>111.1</v>
      </c>
      <c r="D36" s="19">
        <v>49</v>
      </c>
      <c r="E36" s="19">
        <v>25</v>
      </c>
      <c r="F36" s="19">
        <v>37</v>
      </c>
      <c r="G36" s="9">
        <v>111</v>
      </c>
      <c r="H36" s="4">
        <f>_xlfn.RANK.AVG(corrTable[[#This Row],[seg1]],corrTable[seg1],1)</f>
        <v>63</v>
      </c>
      <c r="I36" s="4">
        <f>_xlfn.RANK.AVG(corrTable[[#This Row],[seg2]],corrTable[seg2],1)</f>
        <v>10</v>
      </c>
      <c r="J36" s="4">
        <f>_xlfn.RANK.AVG(corrTable[[#This Row],[seg3]],corrTable[seg3],1)</f>
        <v>33</v>
      </c>
    </row>
    <row r="37" spans="1:10">
      <c r="A37">
        <v>4</v>
      </c>
      <c r="B37" s="6" t="s">
        <v>16</v>
      </c>
      <c r="C37" s="16">
        <v>105.1</v>
      </c>
      <c r="D37" s="20">
        <v>37</v>
      </c>
      <c r="E37" s="20">
        <v>36</v>
      </c>
      <c r="F37" s="20">
        <v>38</v>
      </c>
      <c r="G37" s="16">
        <v>111</v>
      </c>
      <c r="H37" s="4">
        <f>_xlfn.RANK.AVG(corrTable[[#This Row],[seg1]],corrTable[seg1],1)</f>
        <v>24.5</v>
      </c>
      <c r="I37" s="4">
        <f>_xlfn.RANK.AVG(corrTable[[#This Row],[seg2]],corrTable[seg2],1)</f>
        <v>49.5</v>
      </c>
      <c r="J37" s="4">
        <f>_xlfn.RANK.AVG(corrTable[[#This Row],[seg3]],corrTable[seg3],1)</f>
        <v>38</v>
      </c>
    </row>
    <row r="38" spans="1:10">
      <c r="A38">
        <v>4</v>
      </c>
      <c r="B38" s="6" t="s">
        <v>32</v>
      </c>
      <c r="C38" s="4">
        <v>109</v>
      </c>
      <c r="D38" s="19">
        <v>40</v>
      </c>
      <c r="E38" s="19">
        <v>32</v>
      </c>
      <c r="F38" s="19">
        <v>39</v>
      </c>
      <c r="G38" s="4">
        <v>111</v>
      </c>
      <c r="H38" s="4">
        <f>_xlfn.RANK.AVG(corrTable[[#This Row],[seg1]],corrTable[seg1],1)</f>
        <v>43</v>
      </c>
      <c r="I38" s="4">
        <f>_xlfn.RANK.AVG(corrTable[[#This Row],[seg2]],corrTable[seg2],1)</f>
        <v>26.5</v>
      </c>
      <c r="J38" s="4">
        <f>_xlfn.RANK.AVG(corrTable[[#This Row],[seg3]],corrTable[seg3],1)</f>
        <v>42</v>
      </c>
    </row>
    <row r="39" spans="1:10">
      <c r="A39">
        <v>3</v>
      </c>
      <c r="B39" s="6" t="s">
        <v>32</v>
      </c>
      <c r="C39" s="4">
        <v>113.5</v>
      </c>
      <c r="D39" s="19">
        <v>38</v>
      </c>
      <c r="E39" s="19">
        <v>34</v>
      </c>
      <c r="F39" s="19">
        <v>40</v>
      </c>
      <c r="G39" s="4">
        <v>112</v>
      </c>
      <c r="H39" s="4">
        <f>_xlfn.RANK.AVG(corrTable[[#This Row],[seg1]],corrTable[seg1],1)</f>
        <v>31.5</v>
      </c>
      <c r="I39" s="4">
        <f>_xlfn.RANK.AVG(corrTable[[#This Row],[seg2]],corrTable[seg2],1)</f>
        <v>40</v>
      </c>
      <c r="J39" s="4">
        <f>_xlfn.RANK.AVG(corrTable[[#This Row],[seg3]],corrTable[seg3],1)</f>
        <v>45.5</v>
      </c>
    </row>
    <row r="40" spans="1:10">
      <c r="A40">
        <v>4</v>
      </c>
      <c r="B40" s="6" t="s">
        <v>22</v>
      </c>
      <c r="C40" s="15">
        <v>108.8</v>
      </c>
      <c r="D40" s="20">
        <v>34</v>
      </c>
      <c r="E40" s="20">
        <v>34</v>
      </c>
      <c r="F40" s="20">
        <v>44</v>
      </c>
      <c r="G40" s="15">
        <v>112</v>
      </c>
      <c r="H40" s="4">
        <f>_xlfn.RANK.AVG(corrTable[[#This Row],[seg1]],corrTable[seg1],1)</f>
        <v>6</v>
      </c>
      <c r="I40" s="4">
        <f>_xlfn.RANK.AVG(corrTable[[#This Row],[seg2]],corrTable[seg2],1)</f>
        <v>40</v>
      </c>
      <c r="J40" s="4">
        <f>_xlfn.RANK.AVG(corrTable[[#This Row],[seg3]],corrTable[seg3],1)</f>
        <v>58</v>
      </c>
    </row>
    <row r="41" spans="1:10">
      <c r="A41">
        <v>2</v>
      </c>
      <c r="B41" t="s">
        <v>90</v>
      </c>
      <c r="C41" s="15">
        <v>105.2</v>
      </c>
      <c r="D41" s="20">
        <v>40</v>
      </c>
      <c r="E41" s="20">
        <v>31</v>
      </c>
      <c r="F41" s="20">
        <v>42</v>
      </c>
      <c r="G41" s="15">
        <v>113</v>
      </c>
      <c r="H41" s="4">
        <f>_xlfn.RANK.AVG(corrTable[[#This Row],[seg1]],corrTable[seg1],1)</f>
        <v>43</v>
      </c>
      <c r="I41" s="4">
        <f>_xlfn.RANK.AVG(corrTable[[#This Row],[seg2]],corrTable[seg2],1)</f>
        <v>23.5</v>
      </c>
      <c r="J41" s="4">
        <f>_xlfn.RANK.AVG(corrTable[[#This Row],[seg3]],corrTable[seg3],1)</f>
        <v>53.5</v>
      </c>
    </row>
    <row r="42" spans="1:10">
      <c r="A42">
        <v>2</v>
      </c>
      <c r="B42" s="6" t="s">
        <v>36</v>
      </c>
      <c r="C42" s="4">
        <v>109.1</v>
      </c>
      <c r="D42" s="19">
        <v>43</v>
      </c>
      <c r="E42" s="19">
        <v>29</v>
      </c>
      <c r="F42" s="19">
        <v>41</v>
      </c>
      <c r="G42" s="4">
        <v>113</v>
      </c>
      <c r="H42" s="4">
        <f>_xlfn.RANK.AVG(corrTable[[#This Row],[seg1]],corrTable[seg1],1)</f>
        <v>53</v>
      </c>
      <c r="I42" s="4">
        <f>_xlfn.RANK.AVG(corrTable[[#This Row],[seg2]],corrTable[seg2],1)</f>
        <v>21</v>
      </c>
      <c r="J42" s="4">
        <f>_xlfn.RANK.AVG(corrTable[[#This Row],[seg3]],corrTable[seg3],1)</f>
        <v>49.5</v>
      </c>
    </row>
    <row r="43" spans="1:10">
      <c r="A43">
        <v>3</v>
      </c>
      <c r="B43" s="6" t="s">
        <v>38</v>
      </c>
      <c r="C43" s="4">
        <v>112.7</v>
      </c>
      <c r="D43" s="19">
        <v>40</v>
      </c>
      <c r="E43" s="19">
        <v>32</v>
      </c>
      <c r="F43" s="19">
        <v>41</v>
      </c>
      <c r="G43" s="4">
        <v>113</v>
      </c>
      <c r="H43" s="4">
        <f>_xlfn.RANK.AVG(corrTable[[#This Row],[seg1]],corrTable[seg1],1)</f>
        <v>43</v>
      </c>
      <c r="I43" s="4">
        <f>_xlfn.RANK.AVG(corrTable[[#This Row],[seg2]],corrTable[seg2],1)</f>
        <v>26.5</v>
      </c>
      <c r="J43" s="4">
        <f>_xlfn.RANK.AVG(corrTable[[#This Row],[seg3]],corrTable[seg3],1)</f>
        <v>49.5</v>
      </c>
    </row>
    <row r="44" spans="1:10">
      <c r="A44">
        <v>4</v>
      </c>
      <c r="B44" s="6" t="s">
        <v>14</v>
      </c>
      <c r="C44" s="15">
        <v>111.3</v>
      </c>
      <c r="D44" s="20">
        <v>45</v>
      </c>
      <c r="E44" s="20">
        <v>33</v>
      </c>
      <c r="F44" s="20">
        <v>35</v>
      </c>
      <c r="G44" s="15">
        <v>113</v>
      </c>
      <c r="H44" s="4">
        <f>_xlfn.RANK.AVG(corrTable[[#This Row],[seg1]],corrTable[seg1],1)</f>
        <v>56.5</v>
      </c>
      <c r="I44" s="4">
        <f>_xlfn.RANK.AVG(corrTable[[#This Row],[seg2]],corrTable[seg2],1)</f>
        <v>32.5</v>
      </c>
      <c r="J44" s="4">
        <f>_xlfn.RANK.AVG(corrTable[[#This Row],[seg3]],corrTable[seg3],1)</f>
        <v>24</v>
      </c>
    </row>
    <row r="45" spans="1:10">
      <c r="A45">
        <v>3</v>
      </c>
      <c r="B45" s="6" t="s">
        <v>22</v>
      </c>
      <c r="C45" s="15">
        <v>116.1</v>
      </c>
      <c r="D45" s="20">
        <v>37</v>
      </c>
      <c r="E45" s="20">
        <v>35</v>
      </c>
      <c r="F45" s="20">
        <v>42</v>
      </c>
      <c r="G45" s="15">
        <v>114</v>
      </c>
      <c r="H45" s="4">
        <f>_xlfn.RANK.AVG(corrTable[[#This Row],[seg1]],corrTable[seg1],1)</f>
        <v>24.5</v>
      </c>
      <c r="I45" s="4">
        <f>_xlfn.RANK.AVG(corrTable[[#This Row],[seg2]],corrTable[seg2],1)</f>
        <v>45.5</v>
      </c>
      <c r="J45" s="4">
        <f>_xlfn.RANK.AVG(corrTable[[#This Row],[seg3]],corrTable[seg3],1)</f>
        <v>53.5</v>
      </c>
    </row>
    <row r="46" spans="1:10">
      <c r="A46">
        <v>3</v>
      </c>
      <c r="B46" s="6" t="s">
        <v>36</v>
      </c>
      <c r="C46" s="4">
        <v>117.2</v>
      </c>
      <c r="D46" s="19">
        <v>39</v>
      </c>
      <c r="E46" s="19">
        <v>33</v>
      </c>
      <c r="F46" s="19">
        <v>43</v>
      </c>
      <c r="G46" s="4">
        <v>115</v>
      </c>
      <c r="H46" s="4">
        <f>_xlfn.RANK.AVG(corrTable[[#This Row],[seg1]],corrTable[seg1],1)</f>
        <v>36.5</v>
      </c>
      <c r="I46" s="4">
        <f>_xlfn.RANK.AVG(corrTable[[#This Row],[seg2]],corrTable[seg2],1)</f>
        <v>32.5</v>
      </c>
      <c r="J46" s="4">
        <f>_xlfn.RANK.AVG(corrTable[[#This Row],[seg3]],corrTable[seg3],1)</f>
        <v>56.5</v>
      </c>
    </row>
    <row r="47" spans="1:10">
      <c r="A47">
        <v>3</v>
      </c>
      <c r="B47" s="6" t="s">
        <v>30</v>
      </c>
      <c r="C47" s="4">
        <v>117.1</v>
      </c>
      <c r="D47" s="19">
        <v>38</v>
      </c>
      <c r="E47" s="19">
        <v>37</v>
      </c>
      <c r="F47" s="19">
        <v>41</v>
      </c>
      <c r="G47" s="4">
        <v>116</v>
      </c>
      <c r="H47" s="4">
        <f>_xlfn.RANK.AVG(corrTable[[#This Row],[seg1]],corrTable[seg1],1)</f>
        <v>31.5</v>
      </c>
      <c r="I47" s="4">
        <f>_xlfn.RANK.AVG(corrTable[[#This Row],[seg2]],corrTable[seg2],1)</f>
        <v>53</v>
      </c>
      <c r="J47" s="4">
        <f>_xlfn.RANK.AVG(corrTable[[#This Row],[seg3]],corrTable[seg3],1)</f>
        <v>49.5</v>
      </c>
    </row>
    <row r="48" spans="1:10">
      <c r="A48">
        <v>2</v>
      </c>
      <c r="B48" t="s">
        <v>89</v>
      </c>
      <c r="C48" s="15">
        <v>98.9</v>
      </c>
      <c r="D48" s="20">
        <v>38</v>
      </c>
      <c r="E48" s="20">
        <v>33</v>
      </c>
      <c r="F48" s="20">
        <v>46</v>
      </c>
      <c r="G48" s="15">
        <v>117</v>
      </c>
      <c r="H48" s="4">
        <f>_xlfn.RANK.AVG(corrTable[[#This Row],[seg1]],corrTable[seg1],1)</f>
        <v>31.5</v>
      </c>
      <c r="I48" s="4">
        <f>_xlfn.RANK.AVG(corrTable[[#This Row],[seg2]],corrTable[seg2],1)</f>
        <v>32.5</v>
      </c>
      <c r="J48" s="4">
        <f>_xlfn.RANK.AVG(corrTable[[#This Row],[seg3]],corrTable[seg3],1)</f>
        <v>60</v>
      </c>
    </row>
    <row r="49" spans="1:10">
      <c r="A49">
        <v>2</v>
      </c>
      <c r="B49" s="6" t="s">
        <v>20</v>
      </c>
      <c r="C49" s="16">
        <v>110.8</v>
      </c>
      <c r="D49" s="20">
        <v>48</v>
      </c>
      <c r="E49" s="20">
        <v>33</v>
      </c>
      <c r="F49" s="20">
        <v>36</v>
      </c>
      <c r="G49" s="16">
        <v>117</v>
      </c>
      <c r="H49" s="4">
        <f>_xlfn.RANK.AVG(corrTable[[#This Row],[seg1]],corrTable[seg1],1)</f>
        <v>61.5</v>
      </c>
      <c r="I49" s="4">
        <f>_xlfn.RANK.AVG(corrTable[[#This Row],[seg2]],corrTable[seg2],1)</f>
        <v>32.5</v>
      </c>
      <c r="J49" s="4">
        <f>_xlfn.RANK.AVG(corrTable[[#This Row],[seg3]],corrTable[seg3],1)</f>
        <v>28.5</v>
      </c>
    </row>
    <row r="50" spans="1:10">
      <c r="A50">
        <v>3</v>
      </c>
      <c r="B50" s="6" t="s">
        <v>101</v>
      </c>
      <c r="C50" s="4">
        <v>119.7</v>
      </c>
      <c r="D50" s="19">
        <v>40</v>
      </c>
      <c r="E50" s="19">
        <v>39</v>
      </c>
      <c r="F50" s="19">
        <v>38</v>
      </c>
      <c r="G50" s="4">
        <v>117</v>
      </c>
      <c r="H50" s="4">
        <f>_xlfn.RANK.AVG(corrTable[[#This Row],[seg1]],corrTable[seg1],1)</f>
        <v>43</v>
      </c>
      <c r="I50" s="4">
        <f>_xlfn.RANK.AVG(corrTable[[#This Row],[seg2]],corrTable[seg2],1)</f>
        <v>58</v>
      </c>
      <c r="J50" s="4">
        <f>_xlfn.RANK.AVG(corrTable[[#This Row],[seg3]],corrTable[seg3],1)</f>
        <v>38</v>
      </c>
    </row>
    <row r="51" spans="1:10">
      <c r="A51">
        <v>4</v>
      </c>
      <c r="B51" s="6" t="s">
        <v>18</v>
      </c>
      <c r="C51" s="16">
        <v>120.3</v>
      </c>
      <c r="D51" s="20">
        <v>39</v>
      </c>
      <c r="E51" s="20">
        <v>39</v>
      </c>
      <c r="F51" s="20">
        <v>39</v>
      </c>
      <c r="G51" s="16">
        <v>117</v>
      </c>
      <c r="H51" s="4">
        <f>_xlfn.RANK.AVG(corrTable[[#This Row],[seg1]],corrTable[seg1],1)</f>
        <v>36.5</v>
      </c>
      <c r="I51" s="4">
        <f>_xlfn.RANK.AVG(corrTable[[#This Row],[seg2]],corrTable[seg2],1)</f>
        <v>58</v>
      </c>
      <c r="J51" s="4">
        <f>_xlfn.RANK.AVG(corrTable[[#This Row],[seg3]],corrTable[seg3],1)</f>
        <v>42</v>
      </c>
    </row>
    <row r="52" spans="1:10">
      <c r="A52">
        <v>4</v>
      </c>
      <c r="B52" s="6" t="s">
        <v>28</v>
      </c>
      <c r="C52" s="9">
        <v>115.8</v>
      </c>
      <c r="D52" s="19">
        <v>48</v>
      </c>
      <c r="E52" s="19">
        <v>33</v>
      </c>
      <c r="F52" s="19">
        <v>36</v>
      </c>
      <c r="G52" s="9">
        <v>117</v>
      </c>
      <c r="H52" s="4">
        <f>_xlfn.RANK.AVG(corrTable[[#This Row],[seg1]],corrTable[seg1],1)</f>
        <v>61.5</v>
      </c>
      <c r="I52" s="4">
        <f>_xlfn.RANK.AVG(corrTable[[#This Row],[seg2]],corrTable[seg2],1)</f>
        <v>32.5</v>
      </c>
      <c r="J52" s="4">
        <f>_xlfn.RANK.AVG(corrTable[[#This Row],[seg3]],corrTable[seg3],1)</f>
        <v>28.5</v>
      </c>
    </row>
    <row r="53" spans="1:10">
      <c r="A53">
        <v>3</v>
      </c>
      <c r="B53" t="s">
        <v>89</v>
      </c>
      <c r="C53" s="15">
        <v>112</v>
      </c>
      <c r="D53" s="20">
        <v>35</v>
      </c>
      <c r="E53" s="20">
        <v>36</v>
      </c>
      <c r="F53" s="20">
        <v>47</v>
      </c>
      <c r="G53" s="15">
        <v>118</v>
      </c>
      <c r="H53" s="4">
        <f>_xlfn.RANK.AVG(corrTable[[#This Row],[seg1]],corrTable[seg1],1)</f>
        <v>11.5</v>
      </c>
      <c r="I53" s="4">
        <f>_xlfn.RANK.AVG(corrTable[[#This Row],[seg2]],corrTable[seg2],1)</f>
        <v>49.5</v>
      </c>
      <c r="J53" s="4">
        <f>_xlfn.RANK.AVG(corrTable[[#This Row],[seg3]],corrTable[seg3],1)</f>
        <v>61</v>
      </c>
    </row>
    <row r="54" spans="1:10">
      <c r="A54">
        <v>3</v>
      </c>
      <c r="B54" s="6" t="s">
        <v>28</v>
      </c>
      <c r="C54" s="9">
        <v>123.5</v>
      </c>
      <c r="D54" s="19">
        <v>46</v>
      </c>
      <c r="E54" s="19">
        <v>37</v>
      </c>
      <c r="F54" s="19">
        <v>37</v>
      </c>
      <c r="G54" s="9">
        <v>120</v>
      </c>
      <c r="H54" s="4">
        <f>_xlfn.RANK.AVG(corrTable[[#This Row],[seg1]],corrTable[seg1],1)</f>
        <v>58.5</v>
      </c>
      <c r="I54" s="4">
        <f>_xlfn.RANK.AVG(corrTable[[#This Row],[seg2]],corrTable[seg2],1)</f>
        <v>53</v>
      </c>
      <c r="J54" s="4">
        <f>_xlfn.RANK.AVG(corrTable[[#This Row],[seg3]],corrTable[seg3],1)</f>
        <v>33</v>
      </c>
    </row>
    <row r="55" spans="1:10">
      <c r="A55">
        <v>4</v>
      </c>
      <c r="B55" t="s">
        <v>90</v>
      </c>
      <c r="C55" s="15">
        <v>116.9</v>
      </c>
      <c r="D55" s="20">
        <v>42</v>
      </c>
      <c r="E55" s="20">
        <v>37</v>
      </c>
      <c r="F55" s="20">
        <v>41</v>
      </c>
      <c r="G55" s="15">
        <v>120</v>
      </c>
      <c r="H55" s="4">
        <f>_xlfn.RANK.AVG(corrTable[[#This Row],[seg1]],corrTable[seg1],1)</f>
        <v>50.5</v>
      </c>
      <c r="I55" s="4">
        <f>_xlfn.RANK.AVG(corrTable[[#This Row],[seg2]],corrTable[seg2],1)</f>
        <v>53</v>
      </c>
      <c r="J55" s="4">
        <f>_xlfn.RANK.AVG(corrTable[[#This Row],[seg3]],corrTable[seg3],1)</f>
        <v>49.5</v>
      </c>
    </row>
    <row r="56" spans="1:10">
      <c r="A56">
        <v>2</v>
      </c>
      <c r="B56" s="6" t="s">
        <v>26</v>
      </c>
      <c r="C56" s="16">
        <v>114.9</v>
      </c>
      <c r="D56" s="20">
        <v>42</v>
      </c>
      <c r="E56" s="20">
        <v>34</v>
      </c>
      <c r="F56" s="20">
        <v>45</v>
      </c>
      <c r="G56" s="16">
        <v>121</v>
      </c>
      <c r="H56" s="4">
        <f>_xlfn.RANK.AVG(corrTable[[#This Row],[seg1]],corrTable[seg1],1)</f>
        <v>50.5</v>
      </c>
      <c r="I56" s="4">
        <f>_xlfn.RANK.AVG(corrTable[[#This Row],[seg2]],corrTable[seg2],1)</f>
        <v>40</v>
      </c>
      <c r="J56" s="4">
        <f>_xlfn.RANK.AVG(corrTable[[#This Row],[seg3]],corrTable[seg3],1)</f>
        <v>59</v>
      </c>
    </row>
    <row r="57" spans="1:10">
      <c r="A57">
        <v>3</v>
      </c>
      <c r="B57" s="6" t="s">
        <v>14</v>
      </c>
      <c r="C57" s="4">
        <v>120.2</v>
      </c>
      <c r="D57" s="19">
        <v>46</v>
      </c>
      <c r="E57" s="19">
        <v>33</v>
      </c>
      <c r="F57" s="19">
        <v>42</v>
      </c>
      <c r="G57" s="4">
        <v>121</v>
      </c>
      <c r="H57" s="4">
        <f>_xlfn.RANK.AVG(corrTable[[#This Row],[seg1]],corrTable[seg1],1)</f>
        <v>58.5</v>
      </c>
      <c r="I57" s="4">
        <f>_xlfn.RANK.AVG(corrTable[[#This Row],[seg2]],corrTable[seg2],1)</f>
        <v>32.5</v>
      </c>
      <c r="J57" s="4">
        <f>_xlfn.RANK.AVG(corrTable[[#This Row],[seg3]],corrTable[seg3],1)</f>
        <v>53.5</v>
      </c>
    </row>
    <row r="58" spans="1:10">
      <c r="A58">
        <v>3</v>
      </c>
      <c r="B58" s="6" t="s">
        <v>16</v>
      </c>
      <c r="C58" s="16">
        <v>121.5</v>
      </c>
      <c r="D58" s="20">
        <v>42</v>
      </c>
      <c r="E58" s="20">
        <v>39</v>
      </c>
      <c r="F58" s="20">
        <v>40</v>
      </c>
      <c r="G58" s="16">
        <v>121</v>
      </c>
      <c r="H58" s="4">
        <f>_xlfn.RANK.AVG(corrTable[[#This Row],[seg1]],corrTable[seg1],1)</f>
        <v>50.5</v>
      </c>
      <c r="I58" s="4">
        <f>_xlfn.RANK.AVG(corrTable[[#This Row],[seg2]],corrTable[seg2],1)</f>
        <v>58</v>
      </c>
      <c r="J58" s="4">
        <f>_xlfn.RANK.AVG(corrTable[[#This Row],[seg3]],corrTable[seg3],1)</f>
        <v>45.5</v>
      </c>
    </row>
    <row r="59" spans="1:10">
      <c r="A59">
        <v>4</v>
      </c>
      <c r="B59" s="6" t="s">
        <v>20</v>
      </c>
      <c r="C59" s="16">
        <v>121.3</v>
      </c>
      <c r="D59" s="20">
        <v>45</v>
      </c>
      <c r="E59" s="20">
        <v>38</v>
      </c>
      <c r="F59" s="20">
        <v>38</v>
      </c>
      <c r="G59" s="16">
        <v>121</v>
      </c>
      <c r="H59" s="4">
        <f>_xlfn.RANK.AVG(corrTable[[#This Row],[seg1]],corrTable[seg1],1)</f>
        <v>56.5</v>
      </c>
      <c r="I59" s="4">
        <f>_xlfn.RANK.AVG(corrTable[[#This Row],[seg2]],corrTable[seg2],1)</f>
        <v>55.5</v>
      </c>
      <c r="J59" s="4">
        <f>_xlfn.RANK.AVG(corrTable[[#This Row],[seg3]],corrTable[seg3],1)</f>
        <v>38</v>
      </c>
    </row>
    <row r="60" spans="1:10">
      <c r="A60">
        <v>3</v>
      </c>
      <c r="B60" s="6" t="s">
        <v>18</v>
      </c>
      <c r="C60" s="16">
        <v>126</v>
      </c>
      <c r="D60" s="20">
        <v>41</v>
      </c>
      <c r="E60" s="20">
        <v>41</v>
      </c>
      <c r="F60" s="20">
        <v>40</v>
      </c>
      <c r="G60" s="16">
        <v>122</v>
      </c>
      <c r="H60" s="4">
        <f>_xlfn.RANK.AVG(corrTable[[#This Row],[seg1]],corrTable[seg1],1)</f>
        <v>48</v>
      </c>
      <c r="I60" s="4">
        <f>_xlfn.RANK.AVG(corrTable[[#This Row],[seg2]],corrTable[seg2],1)</f>
        <v>61.5</v>
      </c>
      <c r="J60" s="4">
        <f>_xlfn.RANK.AVG(corrTable[[#This Row],[seg3]],corrTable[seg3],1)</f>
        <v>45.5</v>
      </c>
    </row>
    <row r="61" spans="1:10">
      <c r="A61">
        <v>3</v>
      </c>
      <c r="B61" t="s">
        <v>90</v>
      </c>
      <c r="C61" s="15">
        <v>125</v>
      </c>
      <c r="D61" s="20">
        <v>39</v>
      </c>
      <c r="E61" s="20">
        <v>36</v>
      </c>
      <c r="F61" s="20">
        <v>49</v>
      </c>
      <c r="G61" s="15">
        <v>124</v>
      </c>
      <c r="H61" s="4">
        <f>_xlfn.RANK.AVG(corrTable[[#This Row],[seg1]],corrTable[seg1],1)</f>
        <v>36.5</v>
      </c>
      <c r="I61" s="4">
        <f>_xlfn.RANK.AVG(corrTable[[#This Row],[seg2]],corrTable[seg2],1)</f>
        <v>49.5</v>
      </c>
      <c r="J61" s="4">
        <f>_xlfn.RANK.AVG(corrTable[[#This Row],[seg3]],corrTable[seg3],1)</f>
        <v>62.5</v>
      </c>
    </row>
    <row r="62" spans="1:10">
      <c r="A62">
        <v>4</v>
      </c>
      <c r="B62" s="6" t="s">
        <v>26</v>
      </c>
      <c r="C62" s="9">
        <v>124.8</v>
      </c>
      <c r="D62" s="19">
        <v>44</v>
      </c>
      <c r="E62" s="19">
        <v>40</v>
      </c>
      <c r="F62" s="19">
        <v>42</v>
      </c>
      <c r="G62" s="9">
        <v>126</v>
      </c>
      <c r="H62" s="4">
        <f>_xlfn.RANK.AVG(corrTable[[#This Row],[seg1]],corrTable[seg1],1)</f>
        <v>54.5</v>
      </c>
      <c r="I62" s="4">
        <f>_xlfn.RANK.AVG(corrTable[[#This Row],[seg2]],corrTable[seg2],1)</f>
        <v>60</v>
      </c>
      <c r="J62" s="4">
        <f>_xlfn.RANK.AVG(corrTable[[#This Row],[seg3]],corrTable[seg3],1)</f>
        <v>53.5</v>
      </c>
    </row>
    <row r="63" spans="1:10">
      <c r="A63">
        <v>3</v>
      </c>
      <c r="B63" s="6" t="s">
        <v>26</v>
      </c>
      <c r="C63" s="16">
        <v>131.5</v>
      </c>
      <c r="D63" s="20">
        <v>42</v>
      </c>
      <c r="E63" s="20">
        <v>41</v>
      </c>
      <c r="F63" s="20">
        <v>49</v>
      </c>
      <c r="G63" s="16">
        <v>132</v>
      </c>
      <c r="H63" s="4">
        <f>_xlfn.RANK.AVG(corrTable[[#This Row],[seg1]],corrTable[seg1],1)</f>
        <v>50.5</v>
      </c>
      <c r="I63" s="4">
        <f>_xlfn.RANK.AVG(corrTable[[#This Row],[seg2]],corrTable[seg2],1)</f>
        <v>61.5</v>
      </c>
      <c r="J63" s="4">
        <f>_xlfn.RANK.AVG(corrTable[[#This Row],[seg3]],corrTable[seg3],1)</f>
        <v>62.5</v>
      </c>
    </row>
    <row r="64" spans="1:10">
      <c r="A64">
        <v>3</v>
      </c>
      <c r="B64" s="6" t="s">
        <v>20</v>
      </c>
      <c r="C64" s="16">
        <v>129</v>
      </c>
      <c r="D64" s="20">
        <v>47</v>
      </c>
      <c r="E64" s="20">
        <v>43</v>
      </c>
      <c r="F64" s="20">
        <v>43</v>
      </c>
      <c r="G64" s="16">
        <v>133</v>
      </c>
      <c r="H64" s="4">
        <f>_xlfn.RANK.AVG(corrTable[[#This Row],[seg1]],corrTable[seg1],1)</f>
        <v>60</v>
      </c>
      <c r="I64" s="4">
        <f>_xlfn.RANK.AVG(corrTable[[#This Row],[seg2]],corrTable[seg2],1)</f>
        <v>63</v>
      </c>
      <c r="J64" s="4">
        <f>_xlfn.RANK.AVG(corrTable[[#This Row],[seg3]],corrTable[seg3],1)</f>
        <v>56.5</v>
      </c>
    </row>
  </sheetData>
  <conditionalFormatting sqref="G2:G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6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MK69"/>
  <sheetViews>
    <sheetView zoomScale="75" zoomScaleNormal="75" workbookViewId="0">
      <selection activeCell="D56" sqref="D56"/>
    </sheetView>
  </sheetViews>
  <sheetFormatPr defaultRowHeight="12.75"/>
  <cols>
    <col min="1" max="1025" width="11.5703125" style="1"/>
  </cols>
  <sheetData>
    <row r="1" spans="1:4" ht="12.75" customHeight="1">
      <c r="A1" s="1" t="s">
        <v>10</v>
      </c>
      <c r="B1" s="1" t="s">
        <v>11</v>
      </c>
      <c r="C1" s="1" t="s">
        <v>12</v>
      </c>
      <c r="D1" s="6" t="s">
        <v>73</v>
      </c>
    </row>
    <row r="2" spans="1:4" ht="12.75" customHeight="1">
      <c r="A2" s="1" t="s">
        <v>15</v>
      </c>
      <c r="B2" s="1">
        <v>882.42</v>
      </c>
      <c r="C2" s="1">
        <v>2916.81</v>
      </c>
    </row>
    <row r="3" spans="1:4" ht="12.75" customHeight="1">
      <c r="A3" s="1" t="s">
        <v>15</v>
      </c>
      <c r="B3" s="1">
        <v>697.72</v>
      </c>
      <c r="C3" s="1">
        <v>3011.96</v>
      </c>
    </row>
    <row r="4" spans="1:4" ht="12.75" customHeight="1">
      <c r="A4" s="1" t="s">
        <v>15</v>
      </c>
      <c r="B4" s="1">
        <v>889.04</v>
      </c>
      <c r="C4" s="1">
        <v>3092.84</v>
      </c>
    </row>
    <row r="5" spans="1:4" ht="12.75" customHeight="1">
      <c r="A5" s="1" t="s">
        <v>15</v>
      </c>
      <c r="B5" s="1">
        <v>704.47</v>
      </c>
      <c r="C5" s="1">
        <v>2793.75</v>
      </c>
    </row>
    <row r="6" spans="1:4" ht="12.75" customHeight="1">
      <c r="A6" t="s">
        <v>87</v>
      </c>
      <c r="B6">
        <v>804.57</v>
      </c>
      <c r="C6">
        <v>2843.74</v>
      </c>
    </row>
    <row r="7" spans="1:4" ht="12.75" customHeight="1">
      <c r="A7" t="s">
        <v>87</v>
      </c>
      <c r="B7">
        <v>550.46</v>
      </c>
      <c r="C7">
        <v>3013.19</v>
      </c>
    </row>
    <row r="8" spans="1:4" ht="12.75" customHeight="1">
      <c r="A8" t="s">
        <v>87</v>
      </c>
      <c r="B8">
        <v>650.91</v>
      </c>
      <c r="C8">
        <v>3052.2</v>
      </c>
    </row>
    <row r="9" spans="1:4" ht="12.75" customHeight="1">
      <c r="A9" t="s">
        <v>87</v>
      </c>
      <c r="B9">
        <v>708.5</v>
      </c>
      <c r="C9">
        <v>2936.46</v>
      </c>
    </row>
    <row r="10" spans="1:4" ht="12.75" customHeight="1">
      <c r="A10" s="1" t="s">
        <v>17</v>
      </c>
      <c r="B10" s="1">
        <v>802.6</v>
      </c>
      <c r="C10" s="1">
        <v>3077.4</v>
      </c>
    </row>
    <row r="11" spans="1:4" ht="12.75" customHeight="1">
      <c r="A11" s="1" t="s">
        <v>17</v>
      </c>
      <c r="B11" s="1">
        <v>588.1</v>
      </c>
      <c r="C11" s="1">
        <v>3012.24</v>
      </c>
    </row>
    <row r="12" spans="1:4" ht="12.75" customHeight="1">
      <c r="A12" s="1" t="s">
        <v>17</v>
      </c>
      <c r="B12" s="1">
        <v>861.94</v>
      </c>
      <c r="C12" s="1">
        <v>3050.04</v>
      </c>
    </row>
    <row r="13" spans="1:4" ht="12.75" customHeight="1">
      <c r="A13" s="1" t="s">
        <v>17</v>
      </c>
      <c r="B13" s="1">
        <v>901.78</v>
      </c>
      <c r="C13" s="1">
        <v>2778.48</v>
      </c>
    </row>
    <row r="14" spans="1:4" ht="12.75" customHeight="1">
      <c r="A14" s="1" t="s">
        <v>19</v>
      </c>
      <c r="B14" s="1">
        <v>826.05</v>
      </c>
      <c r="C14" s="1">
        <v>2864.08</v>
      </c>
    </row>
    <row r="15" spans="1:4" ht="12.75" customHeight="1">
      <c r="A15" s="1" t="s">
        <v>19</v>
      </c>
      <c r="B15" s="1">
        <v>794.89</v>
      </c>
      <c r="C15" s="1">
        <v>3011.65</v>
      </c>
    </row>
    <row r="16" spans="1:4" ht="12.75" customHeight="1">
      <c r="A16" s="1" t="s">
        <v>19</v>
      </c>
      <c r="B16" s="1">
        <v>874.75</v>
      </c>
      <c r="C16" s="1">
        <v>2886.74</v>
      </c>
    </row>
    <row r="17" spans="1:3" ht="12.75" customHeight="1">
      <c r="A17" s="1" t="s">
        <v>19</v>
      </c>
      <c r="B17" s="1">
        <v>767.24</v>
      </c>
      <c r="C17" s="1">
        <v>2879.19</v>
      </c>
    </row>
    <row r="18" spans="1:3" ht="12.75" customHeight="1">
      <c r="A18" s="1" t="s">
        <v>21</v>
      </c>
      <c r="B18" s="1">
        <v>931.97</v>
      </c>
      <c r="C18" s="1">
        <v>3075.1</v>
      </c>
    </row>
    <row r="19" spans="1:3" ht="12.75" customHeight="1">
      <c r="A19" s="1" t="s">
        <v>21</v>
      </c>
      <c r="B19" s="1">
        <v>815.55</v>
      </c>
      <c r="C19" s="1">
        <v>3009.99</v>
      </c>
    </row>
    <row r="20" spans="1:3" ht="12.75" customHeight="1">
      <c r="A20" s="1" t="s">
        <v>21</v>
      </c>
      <c r="B20" s="1">
        <v>836.12</v>
      </c>
      <c r="C20" s="1">
        <v>3091.69</v>
      </c>
    </row>
    <row r="21" spans="1:3" ht="12.75" customHeight="1">
      <c r="A21" s="1" t="s">
        <v>21</v>
      </c>
      <c r="B21" s="1">
        <v>888.52</v>
      </c>
      <c r="C21" s="1">
        <v>2884.59</v>
      </c>
    </row>
    <row r="22" spans="1:3" ht="12.75" customHeight="1">
      <c r="A22" s="1" t="s">
        <v>23</v>
      </c>
      <c r="B22" s="1">
        <v>805.98</v>
      </c>
      <c r="C22" s="1">
        <v>2834.17</v>
      </c>
    </row>
    <row r="23" spans="1:3" ht="12.75" customHeight="1">
      <c r="A23" s="1" t="s">
        <v>23</v>
      </c>
      <c r="B23" s="1">
        <v>854.75</v>
      </c>
      <c r="C23" s="1">
        <v>3004.2</v>
      </c>
    </row>
    <row r="24" spans="1:3" ht="12.75" customHeight="1">
      <c r="A24" s="1" t="s">
        <v>23</v>
      </c>
      <c r="B24" s="1">
        <v>954.88</v>
      </c>
      <c r="C24" s="1">
        <v>2909.09</v>
      </c>
    </row>
    <row r="25" spans="1:3" ht="12.75" customHeight="1">
      <c r="A25" s="1" t="s">
        <v>23</v>
      </c>
      <c r="B25" s="1">
        <v>654.24</v>
      </c>
      <c r="C25" s="1">
        <v>2735.71</v>
      </c>
    </row>
    <row r="26" spans="1:3" ht="12.75" customHeight="1">
      <c r="A26" t="s">
        <v>88</v>
      </c>
      <c r="B26">
        <v>1057.58</v>
      </c>
      <c r="C26">
        <v>2977.85</v>
      </c>
    </row>
    <row r="27" spans="1:3" ht="12.75" customHeight="1">
      <c r="A27" t="s">
        <v>88</v>
      </c>
      <c r="B27">
        <v>967.53</v>
      </c>
      <c r="C27">
        <v>3011.46</v>
      </c>
    </row>
    <row r="28" spans="1:3" ht="12.75" customHeight="1">
      <c r="A28" t="s">
        <v>88</v>
      </c>
      <c r="B28">
        <v>947.15</v>
      </c>
      <c r="C28">
        <v>3048.64</v>
      </c>
    </row>
    <row r="29" spans="1:3" ht="12.75" customHeight="1">
      <c r="A29" t="s">
        <v>88</v>
      </c>
      <c r="B29">
        <v>960</v>
      </c>
      <c r="C29">
        <v>2910.66</v>
      </c>
    </row>
    <row r="30" spans="1:3" ht="12.75" customHeight="1">
      <c r="A30" s="1" t="s">
        <v>25</v>
      </c>
      <c r="B30" s="1">
        <v>978.29</v>
      </c>
      <c r="C30" s="1">
        <v>2953.11</v>
      </c>
    </row>
    <row r="31" spans="1:3" ht="12.75" customHeight="1">
      <c r="A31" s="1" t="s">
        <v>25</v>
      </c>
      <c r="B31" s="1">
        <v>767.7</v>
      </c>
      <c r="C31" s="1">
        <v>3005.85</v>
      </c>
    </row>
    <row r="32" spans="1:3" ht="12.75" customHeight="1">
      <c r="A32" s="1" t="s">
        <v>25</v>
      </c>
      <c r="B32" s="1">
        <v>1114.17</v>
      </c>
      <c r="C32" s="1">
        <v>2933.07</v>
      </c>
    </row>
    <row r="33" spans="1:3" ht="12.75" customHeight="1">
      <c r="A33" s="1" t="s">
        <v>25</v>
      </c>
      <c r="B33" s="1">
        <v>1554.13</v>
      </c>
      <c r="C33" s="1">
        <v>2859.76</v>
      </c>
    </row>
    <row r="34" spans="1:3" ht="12.75" customHeight="1">
      <c r="A34" s="1" t="s">
        <v>27</v>
      </c>
      <c r="B34" s="1">
        <v>805.2</v>
      </c>
      <c r="C34" s="1">
        <v>2887.04</v>
      </c>
    </row>
    <row r="35" spans="1:3" ht="12.75" customHeight="1">
      <c r="A35" s="1" t="s">
        <v>27</v>
      </c>
      <c r="B35" s="1">
        <v>844.9</v>
      </c>
      <c r="C35" s="1">
        <v>2963.87</v>
      </c>
    </row>
    <row r="36" spans="1:3" ht="12.75" customHeight="1">
      <c r="A36" s="1" t="s">
        <v>27</v>
      </c>
      <c r="B36" s="1">
        <v>860.19</v>
      </c>
      <c r="C36" s="1">
        <v>2946.51</v>
      </c>
    </row>
    <row r="37" spans="1:3" ht="12.75" customHeight="1">
      <c r="A37" s="1" t="s">
        <v>27</v>
      </c>
      <c r="B37" s="1">
        <v>779.67</v>
      </c>
      <c r="C37" s="1">
        <v>2848.97</v>
      </c>
    </row>
    <row r="38" spans="1:3" ht="12.75" customHeight="1">
      <c r="A38" s="1" t="s">
        <v>29</v>
      </c>
      <c r="B38" s="1">
        <v>920.98</v>
      </c>
      <c r="C38" s="1">
        <v>2849.22</v>
      </c>
    </row>
    <row r="39" spans="1:3" ht="12.75" customHeight="1">
      <c r="A39" s="1" t="s">
        <v>29</v>
      </c>
      <c r="B39" s="1">
        <v>907.46</v>
      </c>
      <c r="C39" s="1">
        <v>2972.03</v>
      </c>
    </row>
    <row r="40" spans="1:3" ht="12.75" customHeight="1">
      <c r="A40" s="1" t="s">
        <v>29</v>
      </c>
      <c r="B40" s="1">
        <v>963.4</v>
      </c>
      <c r="C40" s="1">
        <v>2955.08</v>
      </c>
    </row>
    <row r="41" spans="1:3" ht="12.75" customHeight="1">
      <c r="A41" s="1" t="s">
        <v>29</v>
      </c>
      <c r="B41" s="1">
        <v>921.04</v>
      </c>
      <c r="C41" s="1">
        <v>2847.82</v>
      </c>
    </row>
    <row r="42" spans="1:3" ht="12.75" customHeight="1">
      <c r="A42" s="1" t="s">
        <v>31</v>
      </c>
      <c r="B42" s="1">
        <v>869.38</v>
      </c>
      <c r="C42" s="1">
        <v>2847.44</v>
      </c>
    </row>
    <row r="43" spans="1:3" ht="12.75" customHeight="1">
      <c r="A43" s="1" t="s">
        <v>31</v>
      </c>
      <c r="B43" s="1">
        <v>968.57</v>
      </c>
      <c r="C43" s="1">
        <v>3011.04</v>
      </c>
    </row>
    <row r="44" spans="1:3" ht="12.75" customHeight="1">
      <c r="A44" s="1" t="s">
        <v>31</v>
      </c>
      <c r="B44" s="1">
        <v>944.04</v>
      </c>
      <c r="C44" s="1">
        <v>2972.18</v>
      </c>
    </row>
    <row r="45" spans="1:3" ht="12.75" customHeight="1">
      <c r="A45" s="1" t="s">
        <v>31</v>
      </c>
      <c r="B45" s="1">
        <v>825.71</v>
      </c>
      <c r="C45" s="1">
        <v>2887.84</v>
      </c>
    </row>
    <row r="46" spans="1:3" ht="12.75" customHeight="1">
      <c r="A46" s="1" t="s">
        <v>33</v>
      </c>
      <c r="B46" s="1">
        <v>1079.4000000000001</v>
      </c>
      <c r="C46" s="1">
        <v>2966.99</v>
      </c>
    </row>
    <row r="47" spans="1:3" ht="12.75" customHeight="1">
      <c r="A47" s="1" t="s">
        <v>33</v>
      </c>
      <c r="B47" s="1">
        <v>996.97</v>
      </c>
      <c r="C47" s="1">
        <v>3011.86</v>
      </c>
    </row>
    <row r="48" spans="1:3" ht="12.75" customHeight="1">
      <c r="A48" s="1" t="s">
        <v>33</v>
      </c>
      <c r="B48" s="1">
        <v>937.84</v>
      </c>
      <c r="C48" s="1">
        <v>3092.77</v>
      </c>
    </row>
    <row r="49" spans="1:4" ht="12.75" customHeight="1">
      <c r="A49" s="1" t="s">
        <v>33</v>
      </c>
      <c r="B49" s="1">
        <v>1001.27</v>
      </c>
      <c r="C49" s="1">
        <v>2888.97</v>
      </c>
    </row>
    <row r="50" spans="1:4" ht="12.75" customHeight="1">
      <c r="A50" s="1" t="s">
        <v>35</v>
      </c>
      <c r="B50" s="1">
        <v>958.59</v>
      </c>
      <c r="C50" s="1">
        <v>2999.41</v>
      </c>
    </row>
    <row r="51" spans="1:4" ht="12.75" customHeight="1">
      <c r="A51" s="1" t="s">
        <v>35</v>
      </c>
      <c r="B51" s="1">
        <v>1000.92</v>
      </c>
      <c r="C51" s="1">
        <v>3013.76</v>
      </c>
    </row>
    <row r="52" spans="1:4" ht="12.75" customHeight="1">
      <c r="A52" s="1" t="s">
        <v>35</v>
      </c>
      <c r="B52" s="1">
        <v>1245.79</v>
      </c>
      <c r="C52" s="1">
        <v>3093.06</v>
      </c>
    </row>
    <row r="53" spans="1:4" ht="12.75" customHeight="1">
      <c r="A53" s="1" t="s">
        <v>35</v>
      </c>
      <c r="B53" s="1">
        <v>1116.1099999999999</v>
      </c>
      <c r="C53" s="1">
        <v>2771.17</v>
      </c>
    </row>
    <row r="54" spans="1:4">
      <c r="A54" s="1" t="s">
        <v>37</v>
      </c>
      <c r="B54" s="1">
        <v>956.52</v>
      </c>
      <c r="C54" s="1">
        <v>3076.38</v>
      </c>
    </row>
    <row r="55" spans="1:4">
      <c r="A55" s="1" t="s">
        <v>37</v>
      </c>
      <c r="B55" s="1">
        <v>869</v>
      </c>
      <c r="C55" s="1">
        <v>3013.75</v>
      </c>
    </row>
    <row r="56" spans="1:4">
      <c r="A56" s="1" t="s">
        <v>37</v>
      </c>
      <c r="B56" s="1">
        <v>764.1</v>
      </c>
      <c r="C56" s="1">
        <v>3092.15</v>
      </c>
    </row>
    <row r="57" spans="1:4">
      <c r="A57" s="1" t="s">
        <v>37</v>
      </c>
      <c r="B57" s="1">
        <v>841.25</v>
      </c>
      <c r="C57" s="1">
        <v>2770.54</v>
      </c>
    </row>
    <row r="58" spans="1:4">
      <c r="A58" s="1" t="s">
        <v>39</v>
      </c>
      <c r="B58" s="1">
        <v>927.47</v>
      </c>
      <c r="C58" s="1">
        <v>3076.63</v>
      </c>
    </row>
    <row r="59" spans="1:4">
      <c r="A59" s="1" t="s">
        <v>39</v>
      </c>
      <c r="B59" s="1">
        <v>937.82</v>
      </c>
      <c r="C59" s="1">
        <v>3013.78</v>
      </c>
    </row>
    <row r="60" spans="1:4">
      <c r="A60" s="1" t="s">
        <v>39</v>
      </c>
      <c r="B60" s="1">
        <v>870.7</v>
      </c>
      <c r="C60" s="1">
        <v>3093.26</v>
      </c>
    </row>
    <row r="61" spans="1:4">
      <c r="A61" s="1" t="s">
        <v>39</v>
      </c>
      <c r="B61" s="1">
        <v>979.78</v>
      </c>
      <c r="C61" s="1">
        <v>3022.56</v>
      </c>
      <c r="D61" s="1" t="s">
        <v>124</v>
      </c>
    </row>
    <row r="62" spans="1:4">
      <c r="A62" t="s">
        <v>123</v>
      </c>
      <c r="B62">
        <v>1209.06</v>
      </c>
      <c r="C62">
        <v>2764.42</v>
      </c>
    </row>
    <row r="63" spans="1:4">
      <c r="A63" t="s">
        <v>123</v>
      </c>
      <c r="B63">
        <v>1328.92</v>
      </c>
      <c r="C63">
        <v>3012.03</v>
      </c>
    </row>
    <row r="64" spans="1:4">
      <c r="A64" t="s">
        <v>123</v>
      </c>
      <c r="B64">
        <v>1259.3800000000001</v>
      </c>
      <c r="C64">
        <v>2902.43</v>
      </c>
    </row>
    <row r="65" spans="1:3">
      <c r="A65" t="s">
        <v>123</v>
      </c>
      <c r="B65">
        <v>1271.97</v>
      </c>
      <c r="C65">
        <v>2856.2</v>
      </c>
    </row>
    <row r="66" spans="1:3">
      <c r="A66" t="s">
        <v>102</v>
      </c>
      <c r="B66">
        <v>980.08</v>
      </c>
      <c r="C66">
        <v>3014.25</v>
      </c>
    </row>
    <row r="67" spans="1:3">
      <c r="A67" t="s">
        <v>102</v>
      </c>
      <c r="B67">
        <v>853.92</v>
      </c>
      <c r="C67">
        <v>3013.84</v>
      </c>
    </row>
    <row r="68" spans="1:3">
      <c r="A68" t="s">
        <v>102</v>
      </c>
      <c r="B68">
        <v>877.6</v>
      </c>
      <c r="C68">
        <v>3095.24</v>
      </c>
    </row>
    <row r="69" spans="1:3">
      <c r="A69" t="s">
        <v>102</v>
      </c>
      <c r="B69">
        <v>890.08</v>
      </c>
      <c r="C69">
        <v>2835.54</v>
      </c>
    </row>
  </sheetData>
  <conditionalFormatting sqref="B2:B6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 &amp;A</oddHeader>
    <oddFooter>&amp;C&amp;"Times New Roman,Regular"&amp;12 Page &amp;P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R208"/>
  <sheetViews>
    <sheetView topLeftCell="A7" zoomScale="70" zoomScaleNormal="70" workbookViewId="0">
      <selection activeCell="H67" sqref="H67"/>
    </sheetView>
  </sheetViews>
  <sheetFormatPr defaultRowHeight="12.75"/>
  <cols>
    <col min="1" max="2" width="9.140625" style="10"/>
    <col min="3" max="3" width="9.140625" style="26"/>
    <col min="4" max="4" width="13" style="10" customWidth="1"/>
    <col min="5" max="5" width="10" style="10" customWidth="1"/>
    <col min="6" max="6" width="10.42578125" style="10" customWidth="1"/>
    <col min="7" max="7" width="7.5703125" style="10" customWidth="1"/>
    <col min="8" max="10" width="9.140625" style="26"/>
    <col min="11" max="11" width="12.140625" style="26" customWidth="1"/>
    <col min="12" max="12" width="1.85546875" style="24" customWidth="1"/>
    <col min="13" max="15" width="9.140625" style="10"/>
    <col min="39" max="39" width="11" bestFit="1" customWidth="1"/>
    <col min="40" max="40" width="12.42578125" bestFit="1" customWidth="1"/>
  </cols>
  <sheetData>
    <row r="1" spans="1:23">
      <c r="A1" s="22" t="s">
        <v>72</v>
      </c>
      <c r="B1" s="22" t="s">
        <v>10</v>
      </c>
      <c r="C1" s="27" t="s">
        <v>11</v>
      </c>
      <c r="D1" s="22" t="s">
        <v>80</v>
      </c>
      <c r="E1" s="22" t="s">
        <v>77</v>
      </c>
      <c r="F1" s="22" t="s">
        <v>40</v>
      </c>
      <c r="G1" s="22" t="s">
        <v>97</v>
      </c>
      <c r="H1" s="22" t="s">
        <v>3</v>
      </c>
      <c r="I1" s="22" t="s">
        <v>4</v>
      </c>
      <c r="J1" s="22" t="s">
        <v>5</v>
      </c>
      <c r="K1" s="22" t="s">
        <v>6</v>
      </c>
      <c r="L1" s="22" t="s">
        <v>73</v>
      </c>
      <c r="M1" s="22" t="s">
        <v>69</v>
      </c>
      <c r="N1" s="22" t="s">
        <v>70</v>
      </c>
      <c r="O1" s="22" t="s">
        <v>71</v>
      </c>
    </row>
    <row r="2" spans="1:23">
      <c r="A2" s="10">
        <v>3</v>
      </c>
      <c r="B2" s="6" t="s">
        <v>20</v>
      </c>
      <c r="C2" s="18">
        <v>815.55</v>
      </c>
      <c r="D2" s="10">
        <v>43.898697384002581</v>
      </c>
      <c r="E2" s="10">
        <v>0.69338544641173083</v>
      </c>
      <c r="F2" s="10">
        <v>0.72056687594171631</v>
      </c>
      <c r="G2" s="10">
        <v>1</v>
      </c>
      <c r="H2" s="16">
        <v>47</v>
      </c>
      <c r="I2" s="16">
        <v>43</v>
      </c>
      <c r="J2" s="16">
        <v>43</v>
      </c>
      <c r="K2" s="16">
        <v>133</v>
      </c>
      <c r="L2" s="23"/>
      <c r="M2" s="10">
        <f t="shared" ref="M2:M33" si="0">H2/$K2</f>
        <v>0.35338345864661652</v>
      </c>
      <c r="N2" s="10">
        <f t="shared" ref="N2:N33" si="1">I2/$K2</f>
        <v>0.32330827067669171</v>
      </c>
      <c r="O2" s="10">
        <f t="shared" ref="O2:O33" si="2">J2/$K2</f>
        <v>0.32330827067669171</v>
      </c>
    </row>
    <row r="3" spans="1:23">
      <c r="A3" s="10">
        <v>3</v>
      </c>
      <c r="B3" s="6" t="s">
        <v>26</v>
      </c>
      <c r="C3" s="18">
        <v>844.9</v>
      </c>
      <c r="D3" s="10">
        <v>45.47852298417483</v>
      </c>
      <c r="E3" s="10">
        <v>0.71298766697085281</v>
      </c>
      <c r="F3" s="10">
        <v>0.70117657315932935</v>
      </c>
      <c r="G3" s="10">
        <v>1</v>
      </c>
      <c r="H3" s="16">
        <v>42</v>
      </c>
      <c r="I3" s="16">
        <v>41</v>
      </c>
      <c r="J3" s="16">
        <v>49</v>
      </c>
      <c r="K3" s="16">
        <v>132</v>
      </c>
      <c r="L3" s="23"/>
      <c r="M3" s="10">
        <f t="shared" si="0"/>
        <v>0.31818181818181818</v>
      </c>
      <c r="N3" s="10">
        <f t="shared" si="1"/>
        <v>0.31060606060606061</v>
      </c>
      <c r="O3" s="10">
        <f t="shared" si="2"/>
        <v>0.37121212121212122</v>
      </c>
      <c r="R3" s="14" t="s">
        <v>83</v>
      </c>
    </row>
    <row r="4" spans="1:23" ht="13.5" thickBot="1">
      <c r="A4" s="10">
        <v>4</v>
      </c>
      <c r="B4" s="6" t="s">
        <v>26</v>
      </c>
      <c r="C4" s="18">
        <v>860.19</v>
      </c>
      <c r="D4" s="10">
        <v>46.301539455269676</v>
      </c>
      <c r="E4" s="10">
        <v>0.72298570866629031</v>
      </c>
      <c r="F4" s="10">
        <v>0.69086298573906968</v>
      </c>
      <c r="G4" s="10">
        <v>1</v>
      </c>
      <c r="H4" s="9">
        <v>44</v>
      </c>
      <c r="I4" s="9">
        <v>40</v>
      </c>
      <c r="J4" s="9">
        <v>42</v>
      </c>
      <c r="K4" s="9">
        <v>126</v>
      </c>
      <c r="L4" s="23"/>
      <c r="M4" s="10">
        <f t="shared" si="0"/>
        <v>0.34920634920634919</v>
      </c>
      <c r="N4" s="10">
        <f t="shared" si="1"/>
        <v>0.31746031746031744</v>
      </c>
      <c r="O4" s="10">
        <f t="shared" si="2"/>
        <v>0.33333333333333331</v>
      </c>
    </row>
    <row r="5" spans="1:23">
      <c r="A5" s="10">
        <v>3</v>
      </c>
      <c r="B5" t="s">
        <v>90</v>
      </c>
      <c r="C5" s="18">
        <v>967.53</v>
      </c>
      <c r="D5" s="10">
        <v>52.079341156206269</v>
      </c>
      <c r="E5" s="10">
        <v>0.7888625438990039</v>
      </c>
      <c r="F5" s="10">
        <v>0.61456967614192626</v>
      </c>
      <c r="G5" s="10">
        <v>1</v>
      </c>
      <c r="H5" s="15">
        <v>39</v>
      </c>
      <c r="I5" s="15">
        <v>36</v>
      </c>
      <c r="J5" s="15">
        <v>49</v>
      </c>
      <c r="K5" s="15">
        <v>124</v>
      </c>
      <c r="L5" s="23"/>
      <c r="M5" s="10">
        <f t="shared" si="0"/>
        <v>0.31451612903225806</v>
      </c>
      <c r="N5" s="10">
        <f t="shared" si="1"/>
        <v>0.29032258064516131</v>
      </c>
      <c r="O5" s="10">
        <f t="shared" si="2"/>
        <v>0.39516129032258063</v>
      </c>
      <c r="R5" s="13" t="s">
        <v>42</v>
      </c>
      <c r="S5" s="13"/>
    </row>
    <row r="6" spans="1:23">
      <c r="A6" s="10">
        <v>3</v>
      </c>
      <c r="B6" s="6" t="s">
        <v>18</v>
      </c>
      <c r="C6" s="18">
        <v>794.89</v>
      </c>
      <c r="D6" s="10">
        <v>42.786629346538916</v>
      </c>
      <c r="E6" s="10">
        <v>0.67927006114826238</v>
      </c>
      <c r="F6" s="10">
        <v>0.73388840025417745</v>
      </c>
      <c r="G6" s="10">
        <v>1</v>
      </c>
      <c r="H6" s="16">
        <v>41</v>
      </c>
      <c r="I6" s="16">
        <v>41</v>
      </c>
      <c r="J6" s="16">
        <v>40</v>
      </c>
      <c r="K6" s="16">
        <v>122</v>
      </c>
      <c r="L6" s="23"/>
      <c r="M6" s="10">
        <f t="shared" si="0"/>
        <v>0.33606557377049179</v>
      </c>
      <c r="N6" s="10">
        <f t="shared" si="1"/>
        <v>0.33606557377049179</v>
      </c>
      <c r="O6" s="10">
        <f t="shared" si="2"/>
        <v>0.32786885245901637</v>
      </c>
      <c r="R6" s="10" t="s">
        <v>43</v>
      </c>
      <c r="S6" s="10">
        <v>0.18979879133324737</v>
      </c>
    </row>
    <row r="7" spans="1:23">
      <c r="A7" s="10">
        <v>2</v>
      </c>
      <c r="B7" s="6" t="s">
        <v>26</v>
      </c>
      <c r="C7" s="18">
        <v>805.2</v>
      </c>
      <c r="D7" s="10">
        <v>43.341586823124132</v>
      </c>
      <c r="E7" s="10">
        <v>0.6863464093372762</v>
      </c>
      <c r="F7" s="10">
        <v>0.7272747805264721</v>
      </c>
      <c r="G7" s="10">
        <v>1</v>
      </c>
      <c r="H7" s="16">
        <v>42</v>
      </c>
      <c r="I7" s="16">
        <v>34</v>
      </c>
      <c r="J7" s="16">
        <v>45</v>
      </c>
      <c r="K7" s="16">
        <v>121</v>
      </c>
      <c r="L7" s="23"/>
      <c r="M7" s="10">
        <f t="shared" si="0"/>
        <v>0.34710743801652894</v>
      </c>
      <c r="N7" s="10">
        <f t="shared" si="1"/>
        <v>0.28099173553719009</v>
      </c>
      <c r="O7" s="10">
        <f t="shared" si="2"/>
        <v>0.37190082644628097</v>
      </c>
      <c r="R7" s="10" t="s">
        <v>44</v>
      </c>
      <c r="S7" s="10">
        <v>3.6023581191561578E-2</v>
      </c>
    </row>
    <row r="8" spans="1:23">
      <c r="A8" s="10">
        <v>3</v>
      </c>
      <c r="B8" s="6" t="s">
        <v>14</v>
      </c>
      <c r="C8" s="18">
        <v>697.72</v>
      </c>
      <c r="D8" s="10">
        <v>37.556249327161161</v>
      </c>
      <c r="E8" s="10">
        <v>0.60953999902376454</v>
      </c>
      <c r="F8" s="10">
        <v>0.7927553150815887</v>
      </c>
      <c r="G8" s="10">
        <v>1</v>
      </c>
      <c r="H8" s="4">
        <v>46</v>
      </c>
      <c r="I8" s="4">
        <v>33</v>
      </c>
      <c r="J8" s="4">
        <v>42</v>
      </c>
      <c r="K8" s="4">
        <v>121</v>
      </c>
      <c r="L8" s="23"/>
      <c r="M8" s="10">
        <f t="shared" si="0"/>
        <v>0.38016528925619836</v>
      </c>
      <c r="N8" s="10">
        <f t="shared" si="1"/>
        <v>0.27272727272727271</v>
      </c>
      <c r="O8" s="10">
        <f t="shared" si="2"/>
        <v>0.34710743801652894</v>
      </c>
      <c r="R8" s="10" t="s">
        <v>45</v>
      </c>
      <c r="S8" s="10">
        <v>-2.373055835163999E-2</v>
      </c>
    </row>
    <row r="9" spans="1:23" ht="13.5" thickBot="1">
      <c r="A9" s="10">
        <v>3</v>
      </c>
      <c r="B9" s="6" t="s">
        <v>16</v>
      </c>
      <c r="C9" s="18">
        <v>588.1</v>
      </c>
      <c r="D9" s="10">
        <v>31.655721821509314</v>
      </c>
      <c r="E9" s="10">
        <v>0.52481398740007823</v>
      </c>
      <c r="F9" s="10">
        <v>0.85121693981571489</v>
      </c>
      <c r="G9" s="10">
        <v>1</v>
      </c>
      <c r="H9" s="16">
        <v>42</v>
      </c>
      <c r="I9" s="16">
        <v>39</v>
      </c>
      <c r="J9" s="16">
        <v>40</v>
      </c>
      <c r="K9" s="16">
        <v>121</v>
      </c>
      <c r="L9" s="23"/>
      <c r="M9" s="10">
        <f t="shared" si="0"/>
        <v>0.34710743801652894</v>
      </c>
      <c r="N9" s="10">
        <f t="shared" si="1"/>
        <v>0.32231404958677684</v>
      </c>
      <c r="O9" s="10">
        <f t="shared" si="2"/>
        <v>0.33057851239669422</v>
      </c>
      <c r="R9" s="11" t="s">
        <v>47</v>
      </c>
      <c r="S9" s="11">
        <v>52</v>
      </c>
    </row>
    <row r="10" spans="1:23">
      <c r="A10" s="10">
        <v>4</v>
      </c>
      <c r="B10" s="6" t="s">
        <v>20</v>
      </c>
      <c r="C10" s="18">
        <v>836.12</v>
      </c>
      <c r="D10" s="10">
        <v>45.00592098180644</v>
      </c>
      <c r="E10" s="10">
        <v>0.70717985026917818</v>
      </c>
      <c r="F10" s="10">
        <v>0.70703370455252179</v>
      </c>
      <c r="G10" s="10">
        <v>1</v>
      </c>
      <c r="H10" s="16">
        <v>45</v>
      </c>
      <c r="I10" s="16">
        <v>38</v>
      </c>
      <c r="J10" s="16">
        <v>38</v>
      </c>
      <c r="K10" s="16">
        <v>121</v>
      </c>
      <c r="L10" s="23"/>
      <c r="M10" s="10">
        <f t="shared" si="0"/>
        <v>0.37190082644628097</v>
      </c>
      <c r="N10" s="10">
        <f t="shared" si="1"/>
        <v>0.31404958677685951</v>
      </c>
      <c r="O10" s="10">
        <f t="shared" si="2"/>
        <v>0.31404958677685951</v>
      </c>
    </row>
    <row r="11" spans="1:23" ht="13.5" thickBot="1">
      <c r="A11" s="10">
        <v>3</v>
      </c>
      <c r="B11" s="6" t="s">
        <v>28</v>
      </c>
      <c r="C11" s="18">
        <v>907.46</v>
      </c>
      <c r="D11" s="10">
        <v>48.845946818817957</v>
      </c>
      <c r="E11" s="10">
        <v>0.75294288531252307</v>
      </c>
      <c r="F11" s="10">
        <v>0.65808586936451741</v>
      </c>
      <c r="G11" s="10">
        <v>1</v>
      </c>
      <c r="H11" s="9">
        <v>46</v>
      </c>
      <c r="I11" s="9">
        <v>37</v>
      </c>
      <c r="J11" s="9">
        <v>37</v>
      </c>
      <c r="K11" s="9">
        <v>120</v>
      </c>
      <c r="L11" s="23"/>
      <c r="M11" s="10">
        <f t="shared" si="0"/>
        <v>0.38333333333333336</v>
      </c>
      <c r="N11" s="10">
        <f t="shared" si="1"/>
        <v>0.30833333333333335</v>
      </c>
      <c r="O11" s="10">
        <f t="shared" si="2"/>
        <v>0.30833333333333335</v>
      </c>
      <c r="R11" t="s">
        <v>48</v>
      </c>
    </row>
    <row r="12" spans="1:23">
      <c r="A12" s="10">
        <v>4</v>
      </c>
      <c r="B12" t="s">
        <v>90</v>
      </c>
      <c r="C12" s="18">
        <v>947.15</v>
      </c>
      <c r="D12" s="10">
        <v>50.982344708795353</v>
      </c>
      <c r="E12" s="10">
        <v>0.77695200391493091</v>
      </c>
      <c r="F12" s="10">
        <v>0.62955983322681341</v>
      </c>
      <c r="G12" s="10">
        <v>1</v>
      </c>
      <c r="H12" s="15">
        <v>42</v>
      </c>
      <c r="I12" s="15">
        <v>37</v>
      </c>
      <c r="J12" s="15">
        <v>41</v>
      </c>
      <c r="K12" s="15">
        <v>120</v>
      </c>
      <c r="L12" s="23"/>
      <c r="M12" s="10">
        <f t="shared" si="0"/>
        <v>0.35</v>
      </c>
      <c r="N12" s="10">
        <f t="shared" si="1"/>
        <v>0.30833333333333335</v>
      </c>
      <c r="O12" s="10">
        <f t="shared" si="2"/>
        <v>0.34166666666666667</v>
      </c>
      <c r="R12" s="12"/>
      <c r="S12" s="12" t="s">
        <v>53</v>
      </c>
      <c r="T12" s="12" t="s">
        <v>54</v>
      </c>
      <c r="U12" s="12" t="s">
        <v>55</v>
      </c>
      <c r="V12" s="12" t="s">
        <v>56</v>
      </c>
      <c r="W12" s="12" t="s">
        <v>57</v>
      </c>
    </row>
    <row r="13" spans="1:23">
      <c r="A13" s="10">
        <v>3</v>
      </c>
      <c r="B13" t="s">
        <v>89</v>
      </c>
      <c r="C13" s="18">
        <v>550.46</v>
      </c>
      <c r="D13" s="10">
        <v>29.62966950156099</v>
      </c>
      <c r="E13" s="10">
        <v>0.49439205132435232</v>
      </c>
      <c r="F13" s="10">
        <v>0.86923903478116937</v>
      </c>
      <c r="G13" s="10">
        <v>1</v>
      </c>
      <c r="H13" s="15">
        <v>35</v>
      </c>
      <c r="I13" s="15">
        <v>36</v>
      </c>
      <c r="J13" s="15">
        <v>47</v>
      </c>
      <c r="K13" s="15">
        <v>118</v>
      </c>
      <c r="L13" s="23"/>
      <c r="M13" s="10">
        <f t="shared" si="0"/>
        <v>0.29661016949152541</v>
      </c>
      <c r="N13" s="10">
        <f t="shared" si="1"/>
        <v>0.30508474576271188</v>
      </c>
      <c r="O13" s="10">
        <f t="shared" si="2"/>
        <v>0.39830508474576271</v>
      </c>
      <c r="R13" s="10" t="s">
        <v>49</v>
      </c>
      <c r="S13" s="10">
        <v>3</v>
      </c>
      <c r="T13" s="10">
        <v>2.3144662635802615E-2</v>
      </c>
      <c r="U13" s="10">
        <v>7.7148875452675387E-3</v>
      </c>
      <c r="V13" s="10">
        <v>0.91555947010011318</v>
      </c>
      <c r="W13" s="10">
        <v>0.44049552321488339</v>
      </c>
    </row>
    <row r="14" spans="1:23">
      <c r="A14" s="10">
        <v>2</v>
      </c>
      <c r="B14" t="s">
        <v>89</v>
      </c>
      <c r="C14" s="18">
        <v>804.57</v>
      </c>
      <c r="D14" s="10">
        <v>43.307675745505442</v>
      </c>
      <c r="E14" s="10">
        <v>0.68591584432887054</v>
      </c>
      <c r="F14" s="10">
        <v>0.72768087407778737</v>
      </c>
      <c r="G14" s="10">
        <v>1</v>
      </c>
      <c r="H14" s="15">
        <v>38</v>
      </c>
      <c r="I14" s="15">
        <v>33</v>
      </c>
      <c r="J14" s="15">
        <v>46</v>
      </c>
      <c r="K14" s="15">
        <v>117</v>
      </c>
      <c r="L14" s="23"/>
      <c r="M14" s="10">
        <f t="shared" si="0"/>
        <v>0.3247863247863248</v>
      </c>
      <c r="N14" s="10">
        <f t="shared" si="1"/>
        <v>0.28205128205128205</v>
      </c>
      <c r="O14" s="10">
        <f t="shared" si="2"/>
        <v>0.39316239316239315</v>
      </c>
      <c r="R14" s="10" t="s">
        <v>50</v>
      </c>
      <c r="S14" s="10">
        <v>49</v>
      </c>
      <c r="T14" s="10">
        <v>0.61934178291570707</v>
      </c>
      <c r="U14" s="10">
        <v>1.2639628222769532E-2</v>
      </c>
      <c r="V14" s="10"/>
      <c r="W14" s="10"/>
    </row>
    <row r="15" spans="1:23" ht="13.5" thickBot="1">
      <c r="A15" s="10">
        <v>2</v>
      </c>
      <c r="B15" s="6" t="s">
        <v>20</v>
      </c>
      <c r="C15" s="18">
        <v>931.97</v>
      </c>
      <c r="D15" s="10">
        <v>50.165249219506947</v>
      </c>
      <c r="E15" s="10">
        <v>0.76789514582824403</v>
      </c>
      <c r="F15" s="10">
        <v>0.64057555761472806</v>
      </c>
      <c r="G15" s="10">
        <v>1</v>
      </c>
      <c r="H15" s="16">
        <v>48</v>
      </c>
      <c r="I15" s="16">
        <v>33</v>
      </c>
      <c r="J15" s="16">
        <v>36</v>
      </c>
      <c r="K15" s="16">
        <v>117</v>
      </c>
      <c r="L15" s="23"/>
      <c r="M15" s="10">
        <f t="shared" si="0"/>
        <v>0.41025641025641024</v>
      </c>
      <c r="N15" s="10">
        <f t="shared" si="1"/>
        <v>0.28205128205128205</v>
      </c>
      <c r="O15" s="10">
        <f t="shared" si="2"/>
        <v>0.30769230769230771</v>
      </c>
      <c r="R15" s="11" t="s">
        <v>51</v>
      </c>
      <c r="S15" s="11">
        <v>52</v>
      </c>
      <c r="T15" s="11">
        <v>0.64248644555150969</v>
      </c>
      <c r="U15" s="11"/>
      <c r="V15" s="11"/>
      <c r="W15" s="11"/>
    </row>
    <row r="16" spans="1:23" ht="13.5" thickBot="1">
      <c r="A16" s="10">
        <v>3</v>
      </c>
      <c r="B16" s="6" t="s">
        <v>101</v>
      </c>
      <c r="C16" s="18">
        <v>853.92</v>
      </c>
      <c r="D16" s="10">
        <v>45.964043492302721</v>
      </c>
      <c r="E16" s="10">
        <v>0.71890371929545893</v>
      </c>
      <c r="F16" s="10">
        <v>0.69510966212760705</v>
      </c>
      <c r="G16" s="10">
        <v>1</v>
      </c>
      <c r="H16" s="4">
        <v>40</v>
      </c>
      <c r="I16" s="4">
        <v>39</v>
      </c>
      <c r="J16" s="4">
        <v>38</v>
      </c>
      <c r="K16" s="4">
        <v>117</v>
      </c>
      <c r="M16" s="10">
        <f t="shared" si="0"/>
        <v>0.34188034188034189</v>
      </c>
      <c r="N16" s="10">
        <f t="shared" si="1"/>
        <v>0.33333333333333331</v>
      </c>
      <c r="O16" s="10">
        <f t="shared" si="2"/>
        <v>0.3247863247863248</v>
      </c>
    </row>
    <row r="17" spans="1:63">
      <c r="A17" s="10">
        <v>4</v>
      </c>
      <c r="B17" s="6" t="s">
        <v>18</v>
      </c>
      <c r="C17" s="18">
        <v>874.75</v>
      </c>
      <c r="D17" s="10">
        <v>47.085262138012702</v>
      </c>
      <c r="E17" s="10">
        <v>0.73236777666312325</v>
      </c>
      <c r="F17" s="10">
        <v>0.68090927421023839</v>
      </c>
      <c r="G17" s="10">
        <v>1</v>
      </c>
      <c r="H17" s="16">
        <v>39</v>
      </c>
      <c r="I17" s="16">
        <v>39</v>
      </c>
      <c r="J17" s="16">
        <v>39</v>
      </c>
      <c r="K17" s="16">
        <v>117</v>
      </c>
      <c r="L17" s="23"/>
      <c r="M17" s="10">
        <f t="shared" si="0"/>
        <v>0.33333333333333331</v>
      </c>
      <c r="N17" s="10">
        <f t="shared" si="1"/>
        <v>0.33333333333333331</v>
      </c>
      <c r="O17" s="10">
        <f t="shared" si="2"/>
        <v>0.33333333333333331</v>
      </c>
      <c r="R17" s="12"/>
      <c r="S17" s="12" t="s">
        <v>58</v>
      </c>
      <c r="T17" s="12" t="s">
        <v>46</v>
      </c>
      <c r="U17" s="12" t="s">
        <v>59</v>
      </c>
      <c r="V17" s="12" t="s">
        <v>60</v>
      </c>
      <c r="W17" s="12" t="s">
        <v>61</v>
      </c>
      <c r="X17" s="12" t="s">
        <v>62</v>
      </c>
      <c r="Y17" s="12" t="s">
        <v>63</v>
      </c>
      <c r="Z17" s="12" t="s">
        <v>64</v>
      </c>
    </row>
    <row r="18" spans="1:63">
      <c r="A18" s="10">
        <v>4</v>
      </c>
      <c r="B18" s="6" t="s">
        <v>28</v>
      </c>
      <c r="C18" s="18">
        <v>963.4</v>
      </c>
      <c r="D18" s="10">
        <v>51.857035202928195</v>
      </c>
      <c r="E18" s="10">
        <v>0.78647209963504983</v>
      </c>
      <c r="F18" s="10">
        <v>0.61762580620925822</v>
      </c>
      <c r="G18" s="10">
        <v>1</v>
      </c>
      <c r="H18" s="9">
        <v>48</v>
      </c>
      <c r="I18" s="9">
        <v>33</v>
      </c>
      <c r="J18" s="9">
        <v>36</v>
      </c>
      <c r="K18" s="9">
        <v>117</v>
      </c>
      <c r="L18" s="23"/>
      <c r="M18" s="10">
        <f t="shared" si="0"/>
        <v>0.41025641025641024</v>
      </c>
      <c r="N18" s="10">
        <f t="shared" si="1"/>
        <v>0.28205128205128205</v>
      </c>
      <c r="O18" s="10">
        <f t="shared" si="2"/>
        <v>0.30769230769230771</v>
      </c>
      <c r="R18" s="10" t="s">
        <v>52</v>
      </c>
      <c r="S18" s="10">
        <v>0.47170190391019606</v>
      </c>
      <c r="T18" s="10">
        <v>0.40052230098791219</v>
      </c>
      <c r="U18" s="10">
        <v>1.1777169529554663</v>
      </c>
      <c r="V18" s="10">
        <v>0.24459799932897344</v>
      </c>
      <c r="W18" s="10">
        <v>-0.33317779407313597</v>
      </c>
      <c r="X18" s="10">
        <v>1.2765816018935281</v>
      </c>
      <c r="Y18" s="10">
        <v>-0.33317779407313597</v>
      </c>
      <c r="Z18" s="10">
        <v>1.2765816018935281</v>
      </c>
    </row>
    <row r="19" spans="1:63">
      <c r="A19" s="10">
        <v>3</v>
      </c>
      <c r="B19" s="6" t="s">
        <v>30</v>
      </c>
      <c r="C19" s="18">
        <v>968.57</v>
      </c>
      <c r="D19" s="10">
        <v>52.135321347830775</v>
      </c>
      <c r="E19" s="10">
        <v>0.78946262561031411</v>
      </c>
      <c r="F19" s="10">
        <v>0.61379863372646004</v>
      </c>
      <c r="G19" s="10">
        <v>1</v>
      </c>
      <c r="H19" s="4">
        <v>38</v>
      </c>
      <c r="I19" s="4">
        <v>37</v>
      </c>
      <c r="J19" s="4">
        <v>41</v>
      </c>
      <c r="K19" s="4">
        <v>116</v>
      </c>
      <c r="L19" s="23"/>
      <c r="M19" s="10">
        <f t="shared" si="0"/>
        <v>0.32758620689655171</v>
      </c>
      <c r="N19" s="10">
        <f t="shared" si="1"/>
        <v>0.31896551724137934</v>
      </c>
      <c r="O19" s="10">
        <f t="shared" si="2"/>
        <v>0.35344827586206895</v>
      </c>
      <c r="R19" s="10" t="s">
        <v>69</v>
      </c>
      <c r="S19" s="10">
        <v>-5.1098233785077503E-2</v>
      </c>
      <c r="T19" s="10">
        <v>0.62573880961136619</v>
      </c>
      <c r="U19" s="10">
        <v>-8.1660643386996551E-2</v>
      </c>
      <c r="V19" s="10">
        <v>0.93524922990447124</v>
      </c>
      <c r="W19" s="10">
        <v>-1.3085674504908065</v>
      </c>
      <c r="X19" s="10">
        <v>1.2063709829206513</v>
      </c>
      <c r="Y19" s="10">
        <v>-1.3085674504908065</v>
      </c>
      <c r="Z19" s="10">
        <v>1.2063709829206513</v>
      </c>
      <c r="AM19" s="10">
        <v>0.30880541573385106</v>
      </c>
    </row>
    <row r="20" spans="1:63">
      <c r="A20" s="10">
        <v>3</v>
      </c>
      <c r="B20" s="6" t="s">
        <v>36</v>
      </c>
      <c r="C20" s="18">
        <v>869</v>
      </c>
      <c r="D20" s="10">
        <v>46.775756270858004</v>
      </c>
      <c r="E20" s="10">
        <v>0.72867890777254141</v>
      </c>
      <c r="F20" s="10">
        <v>0.68485549524510358</v>
      </c>
      <c r="G20" s="10">
        <v>1</v>
      </c>
      <c r="H20" s="4">
        <v>39</v>
      </c>
      <c r="I20" s="4">
        <v>33</v>
      </c>
      <c r="J20" s="4">
        <v>43</v>
      </c>
      <c r="K20" s="4">
        <v>115</v>
      </c>
      <c r="L20" s="23"/>
      <c r="M20" s="10">
        <f t="shared" si="0"/>
        <v>0.33913043478260868</v>
      </c>
      <c r="N20" s="10">
        <f t="shared" si="1"/>
        <v>0.28695652173913044</v>
      </c>
      <c r="O20" s="10">
        <f t="shared" si="2"/>
        <v>0.37391304347826088</v>
      </c>
      <c r="R20" s="10" t="s">
        <v>70</v>
      </c>
      <c r="S20" s="10">
        <v>0.68988046359864752</v>
      </c>
      <c r="T20" s="10">
        <v>0.71074813329623909</v>
      </c>
      <c r="U20" s="10">
        <v>0.97063985296617872</v>
      </c>
      <c r="V20" s="10">
        <v>0.33649476161165215</v>
      </c>
      <c r="W20" s="10">
        <v>-0.73842138490930598</v>
      </c>
      <c r="X20" s="10">
        <v>2.118182312106601</v>
      </c>
      <c r="Y20" s="10">
        <v>-0.73842138490930598</v>
      </c>
      <c r="Z20" s="10">
        <v>2.118182312106601</v>
      </c>
    </row>
    <row r="21" spans="1:63" ht="13.5" thickBot="1">
      <c r="A21" s="10">
        <v>3</v>
      </c>
      <c r="B21" s="6" t="s">
        <v>22</v>
      </c>
      <c r="C21" s="18">
        <v>854.75</v>
      </c>
      <c r="D21" s="10">
        <v>46.008719991387665</v>
      </c>
      <c r="E21" s="10">
        <v>0.71944551384340716</v>
      </c>
      <c r="F21" s="10">
        <v>0.69454888424832695</v>
      </c>
      <c r="G21" s="10">
        <v>1</v>
      </c>
      <c r="H21" s="15">
        <v>37</v>
      </c>
      <c r="I21" s="15">
        <v>35</v>
      </c>
      <c r="J21" s="15">
        <v>42</v>
      </c>
      <c r="K21" s="15">
        <v>114</v>
      </c>
      <c r="L21" s="23"/>
      <c r="M21" s="10">
        <f t="shared" si="0"/>
        <v>0.32456140350877194</v>
      </c>
      <c r="N21" s="10">
        <f t="shared" si="1"/>
        <v>0.30701754385964913</v>
      </c>
      <c r="O21" s="10">
        <f t="shared" si="2"/>
        <v>0.36842105263157893</v>
      </c>
      <c r="R21" s="11" t="s">
        <v>71</v>
      </c>
      <c r="S21" s="11">
        <v>0</v>
      </c>
      <c r="T21" s="11">
        <v>0</v>
      </c>
      <c r="U21" s="11">
        <v>65535</v>
      </c>
      <c r="V21" s="11" t="e">
        <v>#NUM!</v>
      </c>
      <c r="W21" s="11">
        <v>0</v>
      </c>
      <c r="X21" s="11">
        <v>0</v>
      </c>
      <c r="Y21" s="11">
        <v>0</v>
      </c>
      <c r="Z21" s="11">
        <v>0</v>
      </c>
      <c r="AI21" s="21"/>
    </row>
    <row r="22" spans="1:63">
      <c r="A22" s="10">
        <v>2</v>
      </c>
      <c r="B22" t="s">
        <v>90</v>
      </c>
      <c r="C22" s="18">
        <v>1057.58</v>
      </c>
      <c r="D22" s="10">
        <v>56.926472171385505</v>
      </c>
      <c r="E22" s="10">
        <v>0.83797094080361911</v>
      </c>
      <c r="F22" s="10">
        <v>0.54571485445120282</v>
      </c>
      <c r="G22" s="10">
        <v>1</v>
      </c>
      <c r="H22" s="15">
        <v>40</v>
      </c>
      <c r="I22" s="15">
        <v>31</v>
      </c>
      <c r="J22" s="15">
        <v>42</v>
      </c>
      <c r="K22" s="15">
        <v>113</v>
      </c>
      <c r="L22" s="23"/>
      <c r="M22" s="10">
        <f t="shared" si="0"/>
        <v>0.35398230088495575</v>
      </c>
      <c r="N22" s="10">
        <f t="shared" si="1"/>
        <v>0.27433628318584069</v>
      </c>
      <c r="O22" s="10">
        <f t="shared" si="2"/>
        <v>0.37168141592920356</v>
      </c>
      <c r="AM22" s="10">
        <v>70.698530854245206</v>
      </c>
    </row>
    <row r="23" spans="1:63">
      <c r="A23" s="10">
        <v>2</v>
      </c>
      <c r="B23" s="6" t="s">
        <v>36</v>
      </c>
      <c r="C23" s="18">
        <v>956.52</v>
      </c>
      <c r="D23" s="10">
        <v>51.486704704489185</v>
      </c>
      <c r="E23" s="10">
        <v>0.78246368332794813</v>
      </c>
      <c r="F23" s="10">
        <v>0.622696221501994</v>
      </c>
      <c r="G23" s="10">
        <v>1</v>
      </c>
      <c r="H23" s="4">
        <v>43</v>
      </c>
      <c r="I23" s="4">
        <v>29</v>
      </c>
      <c r="J23" s="4">
        <v>41</v>
      </c>
      <c r="K23" s="4">
        <v>113</v>
      </c>
      <c r="L23" s="23"/>
      <c r="M23" s="10">
        <f t="shared" si="0"/>
        <v>0.38053097345132741</v>
      </c>
      <c r="N23" s="10">
        <f t="shared" si="1"/>
        <v>0.25663716814159293</v>
      </c>
      <c r="O23" s="10">
        <f t="shared" si="2"/>
        <v>0.36283185840707965</v>
      </c>
      <c r="AM23" s="10">
        <v>-0.31592489432855569</v>
      </c>
    </row>
    <row r="24" spans="1:63">
      <c r="A24" s="10">
        <v>3</v>
      </c>
      <c r="B24" s="6" t="s">
        <v>38</v>
      </c>
      <c r="C24" s="18">
        <v>937.82</v>
      </c>
      <c r="D24" s="10">
        <v>50.480137797394775</v>
      </c>
      <c r="E24" s="10">
        <v>0.77140403362247378</v>
      </c>
      <c r="F24" s="10">
        <v>0.63634567407265163</v>
      </c>
      <c r="G24" s="10">
        <v>1</v>
      </c>
      <c r="H24" s="4">
        <v>40</v>
      </c>
      <c r="I24" s="4">
        <v>32</v>
      </c>
      <c r="J24" s="4">
        <v>41</v>
      </c>
      <c r="K24" s="4">
        <v>113</v>
      </c>
      <c r="L24" s="23"/>
      <c r="M24" s="10">
        <f t="shared" si="0"/>
        <v>0.35398230088495575</v>
      </c>
      <c r="N24" s="10">
        <f t="shared" si="1"/>
        <v>0.2831858407079646</v>
      </c>
      <c r="O24" s="10">
        <f t="shared" si="2"/>
        <v>0.36283185840707965</v>
      </c>
      <c r="AM24" s="10">
        <v>-0.26049416581444612</v>
      </c>
    </row>
    <row r="25" spans="1:63" ht="13.5" thickBot="1">
      <c r="A25" s="10">
        <v>4</v>
      </c>
      <c r="B25" s="6" t="s">
        <v>14</v>
      </c>
      <c r="C25" s="18">
        <v>889.04</v>
      </c>
      <c r="D25" s="10">
        <v>47.854451501776296</v>
      </c>
      <c r="E25" s="10">
        <v>0.74144263667882448</v>
      </c>
      <c r="F25" s="10">
        <v>0.67101625652047558</v>
      </c>
      <c r="G25" s="10">
        <v>1</v>
      </c>
      <c r="H25" s="15">
        <v>45</v>
      </c>
      <c r="I25" s="15">
        <v>33</v>
      </c>
      <c r="J25" s="15">
        <v>35</v>
      </c>
      <c r="K25" s="15">
        <v>113</v>
      </c>
      <c r="L25" s="23"/>
      <c r="M25" s="10">
        <f t="shared" si="0"/>
        <v>0.39823008849557523</v>
      </c>
      <c r="N25" s="10">
        <f t="shared" si="1"/>
        <v>0.29203539823008851</v>
      </c>
      <c r="O25" s="10">
        <f t="shared" si="2"/>
        <v>0.30973451327433627</v>
      </c>
      <c r="AM25" s="11">
        <v>-5.4590827009156406E-2</v>
      </c>
    </row>
    <row r="26" spans="1:63">
      <c r="A26" s="10">
        <v>3</v>
      </c>
      <c r="B26" s="6" t="s">
        <v>32</v>
      </c>
      <c r="C26" s="18">
        <v>996.97</v>
      </c>
      <c r="D26" s="10">
        <v>53.664011196038331</v>
      </c>
      <c r="E26" s="10">
        <v>0.80555626612132547</v>
      </c>
      <c r="F26" s="10">
        <v>0.59251928416944222</v>
      </c>
      <c r="G26" s="10">
        <v>1</v>
      </c>
      <c r="H26" s="4">
        <v>38</v>
      </c>
      <c r="I26" s="4">
        <v>34</v>
      </c>
      <c r="J26" s="4">
        <v>40</v>
      </c>
      <c r="K26" s="4">
        <v>112</v>
      </c>
      <c r="L26" s="23"/>
      <c r="M26" s="10">
        <f t="shared" si="0"/>
        <v>0.3392857142857143</v>
      </c>
      <c r="N26" s="10">
        <f t="shared" si="1"/>
        <v>0.30357142857142855</v>
      </c>
      <c r="O26" s="10">
        <f t="shared" si="2"/>
        <v>0.35714285714285715</v>
      </c>
    </row>
    <row r="27" spans="1:63">
      <c r="A27" s="10">
        <v>4</v>
      </c>
      <c r="B27" s="6" t="s">
        <v>22</v>
      </c>
      <c r="C27" s="18">
        <v>954.88</v>
      </c>
      <c r="D27" s="10">
        <v>51.398428248465926</v>
      </c>
      <c r="E27" s="10">
        <v>0.78150335771037605</v>
      </c>
      <c r="F27" s="10">
        <v>0.62390103533125185</v>
      </c>
      <c r="G27" s="10">
        <v>1</v>
      </c>
      <c r="H27" s="15">
        <v>34</v>
      </c>
      <c r="I27" s="15">
        <v>34</v>
      </c>
      <c r="J27" s="15">
        <v>44</v>
      </c>
      <c r="K27" s="15">
        <v>112</v>
      </c>
      <c r="L27" s="23"/>
      <c r="M27" s="10">
        <f t="shared" si="0"/>
        <v>0.30357142857142855</v>
      </c>
      <c r="N27" s="10">
        <f t="shared" si="1"/>
        <v>0.30357142857142855</v>
      </c>
      <c r="O27" s="10">
        <f t="shared" si="2"/>
        <v>0.39285714285714285</v>
      </c>
    </row>
    <row r="28" spans="1:63">
      <c r="A28" s="10">
        <v>2</v>
      </c>
      <c r="B28" s="6" t="s">
        <v>28</v>
      </c>
      <c r="C28" s="18">
        <v>920.98</v>
      </c>
      <c r="D28" s="10">
        <v>49.573689309936483</v>
      </c>
      <c r="E28" s="10">
        <v>0.76124060529983084</v>
      </c>
      <c r="F28" s="10">
        <v>0.64846953732827506</v>
      </c>
      <c r="G28" s="10">
        <v>1</v>
      </c>
      <c r="H28" s="9">
        <v>49</v>
      </c>
      <c r="I28" s="9">
        <v>25</v>
      </c>
      <c r="J28" s="9">
        <v>37</v>
      </c>
      <c r="K28" s="9">
        <v>111</v>
      </c>
      <c r="L28" s="23"/>
      <c r="M28" s="10">
        <f t="shared" si="0"/>
        <v>0.44144144144144143</v>
      </c>
      <c r="N28" s="10">
        <f t="shared" si="1"/>
        <v>0.22522522522522523</v>
      </c>
      <c r="O28" s="10">
        <f t="shared" si="2"/>
        <v>0.33333333333333331</v>
      </c>
    </row>
    <row r="29" spans="1:63">
      <c r="A29" s="10">
        <v>4</v>
      </c>
      <c r="B29" s="6" t="s">
        <v>16</v>
      </c>
      <c r="C29" s="18">
        <v>861.94</v>
      </c>
      <c r="D29" s="10">
        <v>46.395736893099368</v>
      </c>
      <c r="E29" s="10">
        <v>0.72412054811717153</v>
      </c>
      <c r="F29" s="10">
        <v>0.68967342401638698</v>
      </c>
      <c r="G29" s="10">
        <v>1</v>
      </c>
      <c r="H29" s="16">
        <v>37</v>
      </c>
      <c r="I29" s="16">
        <v>36</v>
      </c>
      <c r="J29" s="16">
        <v>38</v>
      </c>
      <c r="K29" s="16">
        <v>111</v>
      </c>
      <c r="L29" s="23"/>
      <c r="M29" s="10">
        <f t="shared" si="0"/>
        <v>0.33333333333333331</v>
      </c>
      <c r="N29" s="10">
        <f t="shared" si="1"/>
        <v>0.32432432432432434</v>
      </c>
      <c r="O29" s="10">
        <f t="shared" si="2"/>
        <v>0.34234234234234234</v>
      </c>
    </row>
    <row r="30" spans="1:63">
      <c r="A30" s="10">
        <v>4</v>
      </c>
      <c r="B30" s="6" t="s">
        <v>32</v>
      </c>
      <c r="C30" s="18">
        <v>937.84</v>
      </c>
      <c r="D30" s="10">
        <v>50.481214339541395</v>
      </c>
      <c r="E30" s="10">
        <v>0.77141598991562488</v>
      </c>
      <c r="F30" s="10">
        <v>0.63633117989180488</v>
      </c>
      <c r="G30" s="10">
        <v>1</v>
      </c>
      <c r="H30" s="4">
        <v>40</v>
      </c>
      <c r="I30" s="4">
        <v>32</v>
      </c>
      <c r="J30" s="4">
        <v>39</v>
      </c>
      <c r="K30" s="4">
        <v>111</v>
      </c>
      <c r="L30" s="23"/>
      <c r="M30" s="10">
        <f t="shared" si="0"/>
        <v>0.36036036036036034</v>
      </c>
      <c r="N30" s="10">
        <f t="shared" si="1"/>
        <v>0.28828828828828829</v>
      </c>
      <c r="O30" s="10">
        <f t="shared" si="2"/>
        <v>0.35135135135135137</v>
      </c>
      <c r="Q30" s="14" t="s">
        <v>82</v>
      </c>
      <c r="AC30" s="14" t="s">
        <v>85</v>
      </c>
      <c r="AL30" s="14" t="s">
        <v>103</v>
      </c>
      <c r="AZ30" s="14" t="s">
        <v>99</v>
      </c>
      <c r="BE30" s="14" t="s">
        <v>100</v>
      </c>
      <c r="BJ30" s="14" t="s">
        <v>106</v>
      </c>
    </row>
    <row r="31" spans="1:63" ht="13.5" thickBot="1">
      <c r="A31" s="10">
        <v>3</v>
      </c>
      <c r="B31" s="6" t="s">
        <v>34</v>
      </c>
      <c r="C31" s="18">
        <v>1000.92</v>
      </c>
      <c r="D31" s="10">
        <v>53.876628269996772</v>
      </c>
      <c r="E31" s="10">
        <v>0.8077494754514849</v>
      </c>
      <c r="F31" s="10">
        <v>0.58952589841995162</v>
      </c>
      <c r="G31" s="10">
        <v>1</v>
      </c>
      <c r="H31" s="4">
        <v>35</v>
      </c>
      <c r="I31" s="4">
        <v>35</v>
      </c>
      <c r="J31" s="4">
        <v>40</v>
      </c>
      <c r="K31" s="4">
        <v>110</v>
      </c>
      <c r="L31" s="23"/>
      <c r="M31" s="10">
        <f t="shared" si="0"/>
        <v>0.31818181818181818</v>
      </c>
      <c r="N31" s="10">
        <f t="shared" si="1"/>
        <v>0.31818181818181818</v>
      </c>
      <c r="O31" s="10">
        <f t="shared" si="2"/>
        <v>0.36363636363636365</v>
      </c>
    </row>
    <row r="32" spans="1:63">
      <c r="A32" s="10">
        <v>2</v>
      </c>
      <c r="B32" s="6" t="s">
        <v>18</v>
      </c>
      <c r="C32" s="18">
        <v>826.05</v>
      </c>
      <c r="D32" s="10">
        <v>44.463882010980726</v>
      </c>
      <c r="E32" s="10">
        <v>0.7004595077986393</v>
      </c>
      <c r="F32" s="10">
        <v>0.71369214506990897</v>
      </c>
      <c r="G32" s="10">
        <v>1</v>
      </c>
      <c r="H32" s="16">
        <v>40</v>
      </c>
      <c r="I32" s="16">
        <v>34</v>
      </c>
      <c r="J32" s="16">
        <v>35</v>
      </c>
      <c r="K32" s="16">
        <v>109</v>
      </c>
      <c r="L32" s="23"/>
      <c r="M32" s="10">
        <f t="shared" si="0"/>
        <v>0.3669724770642202</v>
      </c>
      <c r="N32" s="10">
        <f t="shared" si="1"/>
        <v>0.31192660550458717</v>
      </c>
      <c r="O32" s="10">
        <f t="shared" si="2"/>
        <v>0.32110091743119268</v>
      </c>
      <c r="Q32" s="13" t="s">
        <v>42</v>
      </c>
      <c r="R32" s="13"/>
      <c r="AC32" s="13" t="s">
        <v>42</v>
      </c>
      <c r="AD32" s="13"/>
      <c r="AL32" s="13" t="s">
        <v>42</v>
      </c>
      <c r="AM32" s="13"/>
      <c r="AZ32" s="13" t="s">
        <v>42</v>
      </c>
      <c r="BA32" s="13"/>
      <c r="BE32" s="13" t="s">
        <v>42</v>
      </c>
      <c r="BF32" s="13"/>
      <c r="BJ32" s="13" t="s">
        <v>42</v>
      </c>
      <c r="BK32" s="13"/>
    </row>
    <row r="33" spans="1:70">
      <c r="A33" s="10">
        <v>4</v>
      </c>
      <c r="B33" s="6" t="s">
        <v>101</v>
      </c>
      <c r="C33" s="18">
        <v>877.6</v>
      </c>
      <c r="D33" s="10">
        <v>47.238669393906775</v>
      </c>
      <c r="E33" s="10">
        <v>0.73418825789784525</v>
      </c>
      <c r="F33" s="10">
        <v>0.67894594922197382</v>
      </c>
      <c r="G33" s="10">
        <v>1</v>
      </c>
      <c r="H33" s="4">
        <v>38</v>
      </c>
      <c r="I33" s="4">
        <v>36</v>
      </c>
      <c r="J33" s="4">
        <v>35</v>
      </c>
      <c r="K33" s="4">
        <v>109</v>
      </c>
      <c r="M33" s="10">
        <f t="shared" si="0"/>
        <v>0.34862385321100919</v>
      </c>
      <c r="N33" s="10">
        <f t="shared" si="1"/>
        <v>0.33027522935779818</v>
      </c>
      <c r="O33" s="10">
        <f t="shared" si="2"/>
        <v>0.32110091743119268</v>
      </c>
      <c r="Q33" s="10" t="s">
        <v>43</v>
      </c>
      <c r="R33" s="10">
        <v>0.32739656987833948</v>
      </c>
      <c r="AC33" s="10" t="s">
        <v>43</v>
      </c>
      <c r="AD33" s="10">
        <v>0.25366646110589286</v>
      </c>
      <c r="AL33" s="10" t="s">
        <v>43</v>
      </c>
      <c r="AM33" s="10">
        <v>0.30555121942801783</v>
      </c>
      <c r="AZ33" s="10" t="s">
        <v>43</v>
      </c>
      <c r="BA33" s="10">
        <v>0.30368366512139366</v>
      </c>
      <c r="BE33" s="10" t="s">
        <v>43</v>
      </c>
      <c r="BF33" s="10">
        <v>0.28784372479822362</v>
      </c>
      <c r="BJ33" s="10" t="s">
        <v>43</v>
      </c>
      <c r="BK33" s="10">
        <v>0.2228549520709332</v>
      </c>
    </row>
    <row r="34" spans="1:70">
      <c r="A34" s="10">
        <v>2</v>
      </c>
      <c r="B34" s="6" t="s">
        <v>14</v>
      </c>
      <c r="C34" s="18">
        <v>882.42</v>
      </c>
      <c r="D34" s="10">
        <v>47.498116051243407</v>
      </c>
      <c r="E34" s="10">
        <v>0.73725512225648671</v>
      </c>
      <c r="F34" s="10">
        <v>0.67561444974672713</v>
      </c>
      <c r="G34" s="10">
        <v>1</v>
      </c>
      <c r="H34" s="4">
        <v>38</v>
      </c>
      <c r="I34" s="4">
        <v>35</v>
      </c>
      <c r="J34" s="4">
        <v>35</v>
      </c>
      <c r="K34" s="4">
        <v>108</v>
      </c>
      <c r="L34" s="23"/>
      <c r="M34" s="10">
        <f t="shared" ref="M34:M64" si="3">H34/$K34</f>
        <v>0.35185185185185186</v>
      </c>
      <c r="N34" s="10">
        <f t="shared" ref="N34:N64" si="4">I34/$K34</f>
        <v>0.32407407407407407</v>
      </c>
      <c r="O34" s="10">
        <f t="shared" ref="O34:O64" si="5">J34/$K34</f>
        <v>0.32407407407407407</v>
      </c>
      <c r="Q34" s="10" t="s">
        <v>44</v>
      </c>
      <c r="R34" s="10">
        <v>0.10718851396810244</v>
      </c>
      <c r="AC34" s="10" t="s">
        <v>44</v>
      </c>
      <c r="AD34" s="10">
        <v>6.434667348998746E-2</v>
      </c>
      <c r="AL34" s="10" t="s">
        <v>44</v>
      </c>
      <c r="AM34" s="10">
        <v>9.3361547693948693E-2</v>
      </c>
      <c r="AZ34" s="10" t="s">
        <v>44</v>
      </c>
      <c r="BA34" s="10">
        <v>9.2223768461562772E-2</v>
      </c>
      <c r="BE34" s="10" t="s">
        <v>44</v>
      </c>
      <c r="BF34" s="10">
        <v>8.2854009905715481E-2</v>
      </c>
      <c r="BJ34" s="10" t="s">
        <v>44</v>
      </c>
      <c r="BK34" s="10">
        <v>4.9664329662537934E-2</v>
      </c>
    </row>
    <row r="35" spans="1:70">
      <c r="A35" s="10">
        <v>2</v>
      </c>
      <c r="B35" s="6" t="s">
        <v>16</v>
      </c>
      <c r="C35" s="18">
        <v>802.6</v>
      </c>
      <c r="D35" s="10">
        <v>43.201636344062869</v>
      </c>
      <c r="E35" s="10">
        <v>0.68456792469579331</v>
      </c>
      <c r="F35" s="10">
        <v>0.7289490767383513</v>
      </c>
      <c r="G35" s="10">
        <v>1</v>
      </c>
      <c r="H35" s="16">
        <v>40</v>
      </c>
      <c r="I35" s="16">
        <v>31</v>
      </c>
      <c r="J35" s="16">
        <v>36</v>
      </c>
      <c r="K35" s="16">
        <v>107</v>
      </c>
      <c r="L35" s="23"/>
      <c r="M35" s="10">
        <f t="shared" si="3"/>
        <v>0.37383177570093457</v>
      </c>
      <c r="N35" s="10">
        <f t="shared" si="4"/>
        <v>0.28971962616822428</v>
      </c>
      <c r="O35" s="10">
        <f t="shared" si="5"/>
        <v>0.3364485981308411</v>
      </c>
      <c r="Q35" s="10" t="s">
        <v>45</v>
      </c>
      <c r="R35" s="10">
        <v>6.1791319763090699E-2</v>
      </c>
      <c r="AC35" s="10" t="s">
        <v>45</v>
      </c>
      <c r="AD35" s="10">
        <v>1.6771080616596996E-2</v>
      </c>
      <c r="AL35" s="10" t="s">
        <v>45</v>
      </c>
      <c r="AM35" s="10">
        <v>4.7261287407200321E-2</v>
      </c>
      <c r="AZ35" s="10" t="s">
        <v>45</v>
      </c>
      <c r="BA35" s="10">
        <v>5.9803188763761436E-2</v>
      </c>
      <c r="BE35" s="10" t="s">
        <v>45</v>
      </c>
      <c r="BF35" s="10">
        <v>5.0098795973776755E-2</v>
      </c>
      <c r="BJ35" s="10" t="s">
        <v>45</v>
      </c>
      <c r="BK35" s="10">
        <v>-0.20951812588404264</v>
      </c>
    </row>
    <row r="36" spans="1:70">
      <c r="A36" s="10">
        <v>2</v>
      </c>
      <c r="B36" s="6" t="s">
        <v>101</v>
      </c>
      <c r="C36" s="18">
        <v>980.08</v>
      </c>
      <c r="D36" s="10">
        <v>52.754871353213481</v>
      </c>
      <c r="E36" s="10">
        <v>0.79605346245009845</v>
      </c>
      <c r="F36" s="10">
        <v>0.60522630884753326</v>
      </c>
      <c r="G36" s="10">
        <v>1</v>
      </c>
      <c r="H36" s="4">
        <v>35</v>
      </c>
      <c r="I36" s="4">
        <v>34</v>
      </c>
      <c r="J36" s="4">
        <v>38</v>
      </c>
      <c r="K36" s="4">
        <v>107</v>
      </c>
      <c r="M36" s="10">
        <f t="shared" si="3"/>
        <v>0.32710280373831774</v>
      </c>
      <c r="N36" s="10">
        <f t="shared" si="4"/>
        <v>0.31775700934579437</v>
      </c>
      <c r="O36" s="10">
        <f t="shared" si="5"/>
        <v>0.35514018691588783</v>
      </c>
      <c r="Q36" s="10" t="s">
        <v>46</v>
      </c>
      <c r="R36" s="10">
        <v>0.105732451963842</v>
      </c>
      <c r="AC36" s="10" t="s">
        <v>46</v>
      </c>
      <c r="AD36" s="10">
        <v>8.3343563802105614E-2</v>
      </c>
      <c r="AL36" s="10" t="s">
        <v>46</v>
      </c>
      <c r="AM36" s="10">
        <v>7.7742917169701968</v>
      </c>
      <c r="AZ36" s="10" t="s">
        <v>46</v>
      </c>
      <c r="BA36" s="10">
        <v>0.10908600074157179</v>
      </c>
      <c r="BE36" s="10" t="s">
        <v>46</v>
      </c>
      <c r="BF36" s="10">
        <v>0.10964752984465494</v>
      </c>
      <c r="BJ36" s="10" t="s">
        <v>46</v>
      </c>
      <c r="BK36" s="10">
        <v>153.72159931300709</v>
      </c>
    </row>
    <row r="37" spans="1:70" ht="13.5" thickBot="1">
      <c r="A37" s="10">
        <v>4</v>
      </c>
      <c r="B37" s="6" t="s">
        <v>30</v>
      </c>
      <c r="C37" s="18">
        <v>944.04</v>
      </c>
      <c r="D37" s="10">
        <v>50.814942404995158</v>
      </c>
      <c r="E37" s="10">
        <v>0.77510929190338418</v>
      </c>
      <c r="F37" s="10">
        <v>0.63182718017273864</v>
      </c>
      <c r="G37" s="10">
        <v>1</v>
      </c>
      <c r="H37" s="4">
        <v>37</v>
      </c>
      <c r="I37" s="4">
        <v>38</v>
      </c>
      <c r="J37" s="4">
        <v>32</v>
      </c>
      <c r="K37" s="4">
        <v>107</v>
      </c>
      <c r="L37" s="23"/>
      <c r="M37" s="10">
        <f t="shared" si="3"/>
        <v>0.34579439252336447</v>
      </c>
      <c r="N37" s="10">
        <f t="shared" si="4"/>
        <v>0.35514018691588783</v>
      </c>
      <c r="O37" s="10">
        <f t="shared" si="5"/>
        <v>0.29906542056074764</v>
      </c>
      <c r="Q37" s="11" t="s">
        <v>47</v>
      </c>
      <c r="R37" s="11">
        <v>63</v>
      </c>
      <c r="AC37" s="11" t="s">
        <v>47</v>
      </c>
      <c r="AD37" s="11">
        <v>63</v>
      </c>
      <c r="AL37" s="11" t="s">
        <v>47</v>
      </c>
      <c r="AM37" s="11">
        <v>63</v>
      </c>
      <c r="AZ37" s="11" t="s">
        <v>47</v>
      </c>
      <c r="BA37" s="11">
        <v>59</v>
      </c>
      <c r="BE37" s="11" t="s">
        <v>47</v>
      </c>
      <c r="BF37" s="11">
        <v>59</v>
      </c>
      <c r="BJ37" s="11" t="s">
        <v>47</v>
      </c>
      <c r="BK37" s="11">
        <v>15</v>
      </c>
    </row>
    <row r="38" spans="1:70">
      <c r="A38" s="10">
        <v>4</v>
      </c>
      <c r="B38" s="6" t="s">
        <v>36</v>
      </c>
      <c r="C38" s="18">
        <v>764.1</v>
      </c>
      <c r="D38" s="10">
        <v>41.129292711809669</v>
      </c>
      <c r="E38" s="10">
        <v>0.65776042236509868</v>
      </c>
      <c r="F38" s="10">
        <v>0.75322720793269737</v>
      </c>
      <c r="G38" s="10">
        <v>1</v>
      </c>
      <c r="H38" s="4">
        <v>36</v>
      </c>
      <c r="I38" s="4">
        <v>34</v>
      </c>
      <c r="J38" s="4">
        <v>37</v>
      </c>
      <c r="K38" s="4">
        <v>107</v>
      </c>
      <c r="L38" s="23"/>
      <c r="M38" s="10">
        <f t="shared" si="3"/>
        <v>0.3364485981308411</v>
      </c>
      <c r="N38" s="10">
        <f t="shared" si="4"/>
        <v>0.31775700934579437</v>
      </c>
      <c r="O38" s="10">
        <f t="shared" si="5"/>
        <v>0.34579439252336447</v>
      </c>
    </row>
    <row r="39" spans="1:70" ht="13.5" thickBot="1">
      <c r="A39" s="10">
        <v>2</v>
      </c>
      <c r="B39" s="6" t="s">
        <v>32</v>
      </c>
      <c r="C39" s="18">
        <v>1079.4000000000001</v>
      </c>
      <c r="D39" s="10">
        <v>58.100979653353434</v>
      </c>
      <c r="E39" s="10">
        <v>0.84898072283698423</v>
      </c>
      <c r="F39" s="10">
        <v>0.5284238187773066</v>
      </c>
      <c r="G39" s="10">
        <v>1</v>
      </c>
      <c r="H39" s="4">
        <v>35</v>
      </c>
      <c r="I39" s="4">
        <v>33</v>
      </c>
      <c r="J39" s="4">
        <v>38</v>
      </c>
      <c r="K39" s="4">
        <v>106</v>
      </c>
      <c r="L39" s="23"/>
      <c r="M39" s="10">
        <f t="shared" si="3"/>
        <v>0.330188679245283</v>
      </c>
      <c r="N39" s="10">
        <f t="shared" si="4"/>
        <v>0.31132075471698112</v>
      </c>
      <c r="O39" s="10">
        <f t="shared" si="5"/>
        <v>0.35849056603773582</v>
      </c>
      <c r="Q39" t="s">
        <v>48</v>
      </c>
      <c r="BJ39" t="s">
        <v>48</v>
      </c>
    </row>
    <row r="40" spans="1:70">
      <c r="A40" s="10">
        <v>4</v>
      </c>
      <c r="B40" s="6" t="s">
        <v>34</v>
      </c>
      <c r="C40" s="18">
        <v>1245.79</v>
      </c>
      <c r="D40" s="10">
        <v>67.057272042200452</v>
      </c>
      <c r="E40" s="10">
        <v>0.92089496276711702</v>
      </c>
      <c r="F40" s="10">
        <v>0.38981080994522227</v>
      </c>
      <c r="G40" s="10">
        <v>1</v>
      </c>
      <c r="H40" s="4">
        <v>37</v>
      </c>
      <c r="I40" s="4">
        <v>32</v>
      </c>
      <c r="J40" s="4">
        <v>37</v>
      </c>
      <c r="K40" s="4">
        <v>106</v>
      </c>
      <c r="L40" s="23"/>
      <c r="M40" s="10">
        <f t="shared" si="3"/>
        <v>0.34905660377358488</v>
      </c>
      <c r="N40" s="10">
        <f t="shared" si="4"/>
        <v>0.30188679245283018</v>
      </c>
      <c r="O40" s="10">
        <f t="shared" si="5"/>
        <v>0.34905660377358488</v>
      </c>
      <c r="Q40" s="12"/>
      <c r="R40" s="12" t="s">
        <v>53</v>
      </c>
      <c r="S40" s="12" t="s">
        <v>54</v>
      </c>
      <c r="T40" s="12" t="s">
        <v>55</v>
      </c>
      <c r="U40" s="12" t="s">
        <v>56</v>
      </c>
      <c r="V40" s="12" t="s">
        <v>57</v>
      </c>
      <c r="BJ40" s="12"/>
      <c r="BK40" s="12" t="s">
        <v>53</v>
      </c>
      <c r="BL40" s="12" t="s">
        <v>54</v>
      </c>
      <c r="BM40" s="12" t="s">
        <v>55</v>
      </c>
      <c r="BN40" s="12" t="s">
        <v>56</v>
      </c>
      <c r="BO40" s="12" t="s">
        <v>57</v>
      </c>
    </row>
    <row r="41" spans="1:70">
      <c r="A41" s="10">
        <v>3</v>
      </c>
      <c r="B41" s="6" t="s">
        <v>24</v>
      </c>
      <c r="C41" s="18">
        <v>767.7</v>
      </c>
      <c r="D41" s="10">
        <v>41.323070298202175</v>
      </c>
      <c r="E41" s="10">
        <v>0.66030411295400837</v>
      </c>
      <c r="F41" s="10">
        <v>0.75099832118056031</v>
      </c>
      <c r="G41" s="10">
        <v>1</v>
      </c>
      <c r="H41" s="16">
        <v>35</v>
      </c>
      <c r="I41" s="16">
        <v>34</v>
      </c>
      <c r="J41" s="16">
        <v>36</v>
      </c>
      <c r="K41" s="16">
        <v>105</v>
      </c>
      <c r="L41" s="23"/>
      <c r="M41" s="10">
        <f t="shared" si="3"/>
        <v>0.33333333333333331</v>
      </c>
      <c r="N41" s="10">
        <f t="shared" si="4"/>
        <v>0.32380952380952382</v>
      </c>
      <c r="O41" s="10">
        <f t="shared" si="5"/>
        <v>0.34285714285714286</v>
      </c>
      <c r="Q41" s="10" t="s">
        <v>49</v>
      </c>
      <c r="R41" s="10">
        <v>3</v>
      </c>
      <c r="S41" s="10">
        <v>7.9187585344904332E-2</v>
      </c>
      <c r="T41" s="10">
        <v>2.6395861781634777E-2</v>
      </c>
      <c r="U41" s="10">
        <v>2.36112640539069</v>
      </c>
      <c r="V41" s="10">
        <v>8.0479312185227622E-2</v>
      </c>
      <c r="BJ41" s="10" t="s">
        <v>49</v>
      </c>
      <c r="BK41" s="10">
        <v>3</v>
      </c>
      <c r="BL41" s="10">
        <v>13584.073444497539</v>
      </c>
      <c r="BM41" s="10">
        <v>4528.0244814991793</v>
      </c>
      <c r="BN41" s="10">
        <v>0.19161918023271526</v>
      </c>
      <c r="BO41" s="10">
        <v>0.89990752418956377</v>
      </c>
    </row>
    <row r="42" spans="1:70">
      <c r="A42" s="10">
        <v>2</v>
      </c>
      <c r="B42" s="6" t="s">
        <v>38</v>
      </c>
      <c r="C42" s="18">
        <v>927.47</v>
      </c>
      <c r="D42" s="10">
        <v>49.923027236516312</v>
      </c>
      <c r="E42" s="10">
        <v>0.7651802131267107</v>
      </c>
      <c r="F42" s="10">
        <v>0.64381615500029321</v>
      </c>
      <c r="G42" s="10">
        <v>1</v>
      </c>
      <c r="H42" s="4">
        <v>39</v>
      </c>
      <c r="I42" s="4">
        <v>26</v>
      </c>
      <c r="J42" s="4">
        <v>39</v>
      </c>
      <c r="K42" s="4">
        <v>104</v>
      </c>
      <c r="L42" s="23"/>
      <c r="M42" s="10">
        <f t="shared" si="3"/>
        <v>0.375</v>
      </c>
      <c r="N42" s="10">
        <f t="shared" si="4"/>
        <v>0.25</v>
      </c>
      <c r="O42" s="10">
        <f t="shared" si="5"/>
        <v>0.375</v>
      </c>
      <c r="Q42" s="10" t="s">
        <v>50</v>
      </c>
      <c r="R42" s="10">
        <v>59</v>
      </c>
      <c r="S42" s="10">
        <v>0.65958173249888319</v>
      </c>
      <c r="T42" s="10">
        <v>1.1179351398286156E-2</v>
      </c>
      <c r="U42" s="10"/>
      <c r="V42" s="10"/>
      <c r="BJ42" s="10" t="s">
        <v>50</v>
      </c>
      <c r="BK42" s="10">
        <v>11</v>
      </c>
      <c r="BL42" s="10">
        <v>259933.63104883576</v>
      </c>
      <c r="BM42" s="10">
        <v>23630.330095348705</v>
      </c>
      <c r="BN42" s="10"/>
      <c r="BO42" s="10"/>
    </row>
    <row r="43" spans="1:70" ht="13.5" thickBot="1">
      <c r="A43" s="10">
        <v>4</v>
      </c>
      <c r="B43" s="6" t="s">
        <v>38</v>
      </c>
      <c r="C43" s="18">
        <v>870.7</v>
      </c>
      <c r="D43" s="10">
        <v>46.867262353321138</v>
      </c>
      <c r="E43" s="10">
        <v>0.72977174867205674</v>
      </c>
      <c r="F43" s="10">
        <v>0.68369086204228913</v>
      </c>
      <c r="G43" s="10">
        <v>1</v>
      </c>
      <c r="H43" s="4">
        <v>40</v>
      </c>
      <c r="I43" s="4">
        <v>29</v>
      </c>
      <c r="J43" s="4">
        <v>35</v>
      </c>
      <c r="K43" s="4">
        <v>104</v>
      </c>
      <c r="L43" s="23"/>
      <c r="M43" s="10">
        <f t="shared" si="3"/>
        <v>0.38461538461538464</v>
      </c>
      <c r="N43" s="10">
        <f t="shared" si="4"/>
        <v>0.27884615384615385</v>
      </c>
      <c r="O43" s="10">
        <f t="shared" si="5"/>
        <v>0.33653846153846156</v>
      </c>
      <c r="Q43" s="11" t="s">
        <v>51</v>
      </c>
      <c r="R43" s="11">
        <v>62</v>
      </c>
      <c r="S43" s="11">
        <v>0.73876931784378752</v>
      </c>
      <c r="T43" s="11"/>
      <c r="U43" s="11"/>
      <c r="V43" s="11"/>
      <c r="BJ43" s="11" t="s">
        <v>51</v>
      </c>
      <c r="BK43" s="11">
        <v>14</v>
      </c>
      <c r="BL43" s="11">
        <v>273517.70449333329</v>
      </c>
      <c r="BM43" s="11"/>
      <c r="BN43" s="11"/>
      <c r="BO43" s="11"/>
    </row>
    <row r="44" spans="1:70" ht="13.5" thickBot="1">
      <c r="A44" s="10">
        <v>2</v>
      </c>
      <c r="B44" s="6" t="s">
        <v>30</v>
      </c>
      <c r="C44" s="18">
        <v>869.38</v>
      </c>
      <c r="D44" s="10">
        <v>46.796210571643883</v>
      </c>
      <c r="E44" s="10">
        <v>0.72892335124952901</v>
      </c>
      <c r="F44" s="10">
        <v>0.68459531695970266</v>
      </c>
      <c r="G44" s="10">
        <v>1</v>
      </c>
      <c r="H44" s="4">
        <v>37</v>
      </c>
      <c r="I44" s="4">
        <v>32</v>
      </c>
      <c r="J44" s="4">
        <v>33</v>
      </c>
      <c r="K44" s="4">
        <v>102</v>
      </c>
      <c r="L44" s="23"/>
      <c r="M44" s="10">
        <f t="shared" si="3"/>
        <v>0.36274509803921567</v>
      </c>
      <c r="N44" s="10">
        <f t="shared" si="4"/>
        <v>0.31372549019607843</v>
      </c>
      <c r="O44" s="10">
        <f t="shared" si="5"/>
        <v>0.3235294117647059</v>
      </c>
    </row>
    <row r="45" spans="1:70">
      <c r="A45" s="10">
        <v>2</v>
      </c>
      <c r="B45" s="6" t="s">
        <v>34</v>
      </c>
      <c r="C45" s="18">
        <v>958.59</v>
      </c>
      <c r="D45" s="10">
        <v>51.598126816664873</v>
      </c>
      <c r="E45" s="10">
        <v>0.78367314958804135</v>
      </c>
      <c r="F45" s="10">
        <v>0.62117340140637012</v>
      </c>
      <c r="G45" s="10">
        <v>1</v>
      </c>
      <c r="H45" s="4">
        <v>36</v>
      </c>
      <c r="I45" s="4">
        <v>28</v>
      </c>
      <c r="J45" s="4">
        <v>37</v>
      </c>
      <c r="K45" s="4">
        <v>101</v>
      </c>
      <c r="L45" s="23"/>
      <c r="M45" s="10">
        <f t="shared" si="3"/>
        <v>0.35643564356435642</v>
      </c>
      <c r="N45" s="10">
        <f t="shared" si="4"/>
        <v>0.27722772277227725</v>
      </c>
      <c r="O45" s="10">
        <f t="shared" si="5"/>
        <v>0.36633663366336633</v>
      </c>
      <c r="Q45" s="12"/>
      <c r="R45" s="12" t="s">
        <v>58</v>
      </c>
      <c r="S45" s="12" t="s">
        <v>46</v>
      </c>
      <c r="T45" s="12" t="s">
        <v>59</v>
      </c>
      <c r="U45" s="12" t="s">
        <v>60</v>
      </c>
      <c r="V45" s="12" t="s">
        <v>61</v>
      </c>
      <c r="W45" s="12" t="s">
        <v>62</v>
      </c>
      <c r="X45" s="12" t="s">
        <v>63</v>
      </c>
      <c r="Y45" s="12" t="s">
        <v>64</v>
      </c>
      <c r="Z45" s="12" t="s">
        <v>64</v>
      </c>
      <c r="AC45" s="12"/>
      <c r="AD45" s="12" t="s">
        <v>58</v>
      </c>
      <c r="AE45" s="12" t="s">
        <v>46</v>
      </c>
      <c r="AL45" s="12"/>
      <c r="AM45" s="12" t="s">
        <v>58</v>
      </c>
      <c r="AN45" s="12" t="s">
        <v>46</v>
      </c>
      <c r="AZ45" s="12"/>
      <c r="BA45" s="12" t="s">
        <v>58</v>
      </c>
      <c r="BB45" s="12" t="s">
        <v>46</v>
      </c>
      <c r="BE45" s="12"/>
      <c r="BF45" s="12" t="s">
        <v>58</v>
      </c>
      <c r="BG45" s="12" t="s">
        <v>46</v>
      </c>
      <c r="BJ45" s="12"/>
      <c r="BK45" s="12" t="s">
        <v>58</v>
      </c>
      <c r="BL45" s="12" t="s">
        <v>46</v>
      </c>
      <c r="BM45" s="12" t="s">
        <v>59</v>
      </c>
      <c r="BN45" s="12" t="s">
        <v>60</v>
      </c>
      <c r="BO45" s="12" t="s">
        <v>61</v>
      </c>
      <c r="BP45" s="12" t="s">
        <v>62</v>
      </c>
      <c r="BQ45" s="12" t="s">
        <v>63</v>
      </c>
      <c r="BR45" s="12" t="s">
        <v>64</v>
      </c>
    </row>
    <row r="46" spans="1:70">
      <c r="A46" s="10">
        <v>4</v>
      </c>
      <c r="B46" t="s">
        <v>89</v>
      </c>
      <c r="C46" s="18">
        <v>650.91</v>
      </c>
      <c r="D46" s="10">
        <v>35.036602432985248</v>
      </c>
      <c r="E46" s="10">
        <v>0.57409962060821329</v>
      </c>
      <c r="F46" s="10">
        <v>0.81878545762458776</v>
      </c>
      <c r="G46" s="10">
        <v>1</v>
      </c>
      <c r="H46" s="15">
        <v>44</v>
      </c>
      <c r="I46" s="15">
        <v>25</v>
      </c>
      <c r="J46" s="15">
        <v>32</v>
      </c>
      <c r="K46" s="15">
        <v>101</v>
      </c>
      <c r="L46" s="23"/>
      <c r="M46" s="10">
        <f t="shared" si="3"/>
        <v>0.43564356435643564</v>
      </c>
      <c r="N46" s="10">
        <f t="shared" si="4"/>
        <v>0.24752475247524752</v>
      </c>
      <c r="O46" s="10">
        <f t="shared" si="5"/>
        <v>0.31683168316831684</v>
      </c>
      <c r="Q46" s="10" t="s">
        <v>52</v>
      </c>
      <c r="R46" s="10">
        <v>0.33078388519680346</v>
      </c>
      <c r="S46" s="10">
        <v>0.13451928730078147</v>
      </c>
      <c r="T46" s="10">
        <v>2.4590071196049359</v>
      </c>
      <c r="U46" s="10">
        <v>1.6884410659508287E-2</v>
      </c>
      <c r="V46" s="10">
        <v>6.1611413044211805E-2</v>
      </c>
      <c r="W46" s="10">
        <v>0.59995635734939512</v>
      </c>
      <c r="X46" s="10">
        <v>6.1611413044211805E-2</v>
      </c>
      <c r="Y46" s="10">
        <v>0.59995635734939512</v>
      </c>
      <c r="Z46" s="10">
        <v>0.74582685220496192</v>
      </c>
      <c r="AC46" s="10" t="s">
        <v>52</v>
      </c>
      <c r="AD46" s="10">
        <v>0.93138892672714679</v>
      </c>
      <c r="AE46" s="10">
        <v>0.10603477546893986</v>
      </c>
      <c r="AL46" s="10" t="s">
        <v>52</v>
      </c>
      <c r="AM46" s="10">
        <v>70.513954958783486</v>
      </c>
      <c r="AN46" s="10">
        <v>9.8909290535779473</v>
      </c>
      <c r="AZ46" s="10" t="s">
        <v>52</v>
      </c>
      <c r="BA46" s="10">
        <v>0.3323503675691325</v>
      </c>
      <c r="BB46" s="10">
        <v>0.14066456298421054</v>
      </c>
      <c r="BE46" s="10" t="s">
        <v>52</v>
      </c>
      <c r="BF46" s="10">
        <v>0.46142402516369224</v>
      </c>
      <c r="BG46" s="10">
        <v>9.4513246570757214E-2</v>
      </c>
      <c r="BJ46" s="10" t="s">
        <v>52</v>
      </c>
      <c r="BK46" s="10">
        <v>1373.3072239805163</v>
      </c>
      <c r="BL46" s="10">
        <v>747.57140996850035</v>
      </c>
      <c r="BM46" s="10">
        <v>1.8370248054809666</v>
      </c>
      <c r="BN46" s="10">
        <v>9.3349807933657505E-2</v>
      </c>
      <c r="BO46" s="10">
        <v>-272.08635546893538</v>
      </c>
      <c r="BP46" s="10">
        <v>3018.7008034299679</v>
      </c>
      <c r="BQ46" s="10">
        <v>-272.08635546893538</v>
      </c>
      <c r="BR46" s="10">
        <v>3018.7008034299679</v>
      </c>
    </row>
    <row r="47" spans="1:70">
      <c r="A47" s="10">
        <v>2</v>
      </c>
      <c r="B47" s="6" t="s">
        <v>22</v>
      </c>
      <c r="C47" s="18">
        <v>805.98</v>
      </c>
      <c r="D47" s="10">
        <v>43.383571966842503</v>
      </c>
      <c r="E47" s="10">
        <v>0.68687915670019517</v>
      </c>
      <c r="F47" s="10">
        <v>0.72677164507899505</v>
      </c>
      <c r="G47" s="10">
        <v>1</v>
      </c>
      <c r="H47" s="15">
        <v>37</v>
      </c>
      <c r="I47" s="15">
        <v>33</v>
      </c>
      <c r="J47" s="15">
        <v>29</v>
      </c>
      <c r="K47" s="15">
        <v>99</v>
      </c>
      <c r="L47" s="23"/>
      <c r="M47" s="10">
        <f t="shared" si="3"/>
        <v>0.37373737373737376</v>
      </c>
      <c r="N47" s="10">
        <f t="shared" si="4"/>
        <v>0.33333333333333331</v>
      </c>
      <c r="O47" s="10">
        <f t="shared" si="5"/>
        <v>0.29292929292929293</v>
      </c>
      <c r="Q47" s="10" t="s">
        <v>3</v>
      </c>
      <c r="R47" s="10">
        <v>5.0007078138032367E-3</v>
      </c>
      <c r="S47" s="10">
        <v>3.542512991282267E-3</v>
      </c>
      <c r="T47" s="10">
        <v>1.411627233579503</v>
      </c>
      <c r="U47" s="10">
        <v>0.16331196470582823</v>
      </c>
      <c r="V47" s="10">
        <v>-2.0878443085702268E-3</v>
      </c>
      <c r="W47" s="10">
        <v>1.20892599361767E-2</v>
      </c>
      <c r="X47" s="10">
        <v>-2.0878443085702268E-3</v>
      </c>
      <c r="Y47" s="10">
        <v>1.20892599361767E-2</v>
      </c>
      <c r="Z47" s="10">
        <v>8.9869612584723944E-3</v>
      </c>
      <c r="AC47" s="10" t="s">
        <v>3</v>
      </c>
      <c r="AD47" s="10">
        <v>-2.9635593921485152E-3</v>
      </c>
      <c r="AE47" s="10">
        <v>2.7923844763355025E-3</v>
      </c>
      <c r="AL47" s="10" t="s">
        <v>3</v>
      </c>
      <c r="AM47" s="10">
        <v>-0.33475133889244185</v>
      </c>
      <c r="AN47" s="10">
        <v>0.26047376083554036</v>
      </c>
      <c r="AZ47" s="10" t="s">
        <v>3</v>
      </c>
      <c r="BA47" s="10">
        <v>5.645719593706475E-3</v>
      </c>
      <c r="BB47" s="10">
        <v>3.6149694210810303E-3</v>
      </c>
      <c r="BE47" s="10" t="s">
        <v>4</v>
      </c>
      <c r="BF47" s="10">
        <v>4.6462360460435993E-3</v>
      </c>
      <c r="BG47" s="10">
        <v>3.4233234298421665E-3</v>
      </c>
      <c r="BJ47" s="10">
        <v>47</v>
      </c>
      <c r="BK47" s="10">
        <v>-2.94660105699726</v>
      </c>
      <c r="BL47" s="10">
        <v>12.122763672416195</v>
      </c>
      <c r="BM47" s="10">
        <v>-0.2430634743546041</v>
      </c>
      <c r="BN47" s="10">
        <v>0.81242921045499972</v>
      </c>
      <c r="BO47" s="10">
        <v>-29.628623999283317</v>
      </c>
      <c r="BP47" s="10">
        <v>23.735421885288797</v>
      </c>
      <c r="BQ47" s="10">
        <v>-29.628623999283317</v>
      </c>
      <c r="BR47" s="10">
        <v>23.735421885288797</v>
      </c>
    </row>
    <row r="48" spans="1:70" ht="13.5" thickBot="1">
      <c r="A48" s="10">
        <v>4</v>
      </c>
      <c r="B48" s="6" t="s">
        <v>24</v>
      </c>
      <c r="C48" s="18">
        <v>1114.17</v>
      </c>
      <c r="D48" s="10">
        <v>59.972548175261068</v>
      </c>
      <c r="E48" s="10">
        <v>0.86578574202730452</v>
      </c>
      <c r="F48" s="10">
        <v>0.50041487677948748</v>
      </c>
      <c r="G48" s="10">
        <v>1</v>
      </c>
      <c r="H48" s="16">
        <v>34</v>
      </c>
      <c r="I48" s="16">
        <v>35</v>
      </c>
      <c r="J48" s="16">
        <v>30</v>
      </c>
      <c r="K48" s="16">
        <v>99</v>
      </c>
      <c r="L48" s="23"/>
      <c r="M48" s="10">
        <f t="shared" si="3"/>
        <v>0.34343434343434343</v>
      </c>
      <c r="N48" s="10">
        <f t="shared" si="4"/>
        <v>0.35353535353535354</v>
      </c>
      <c r="O48" s="10">
        <f t="shared" si="5"/>
        <v>0.30303030303030304</v>
      </c>
      <c r="Q48" s="10" t="s">
        <v>4</v>
      </c>
      <c r="R48" s="10">
        <v>3.1631233011930825E-3</v>
      </c>
      <c r="S48" s="10">
        <v>3.1805770752011842E-3</v>
      </c>
      <c r="T48" s="10">
        <v>0.99451238765940053</v>
      </c>
      <c r="U48" s="10">
        <v>0.32403484095467094</v>
      </c>
      <c r="V48" s="10">
        <v>-3.2011967259379915E-3</v>
      </c>
      <c r="W48" s="10">
        <v>9.5274433283241561E-3</v>
      </c>
      <c r="X48" s="10">
        <v>-3.2011967259379915E-3</v>
      </c>
      <c r="Y48" s="10">
        <v>9.5274433283241561E-3</v>
      </c>
      <c r="Z48" s="10">
        <v>6.4977053270910698E-3</v>
      </c>
      <c r="AC48" s="10" t="s">
        <v>4</v>
      </c>
      <c r="AD48" s="10">
        <v>-2.1392060861762765E-3</v>
      </c>
      <c r="AE48" s="10">
        <v>2.5070886324020528E-3</v>
      </c>
      <c r="AL48" s="10" t="s">
        <v>4</v>
      </c>
      <c r="AM48" s="10">
        <v>-0.22396699736579215</v>
      </c>
      <c r="AN48" s="10">
        <v>0.23386135052819754</v>
      </c>
      <c r="AZ48" s="11" t="s">
        <v>5</v>
      </c>
      <c r="BA48" s="11">
        <v>2.9756599176724067E-3</v>
      </c>
      <c r="BB48" s="11">
        <v>2.5630053222406436E-3</v>
      </c>
      <c r="BE48" s="11" t="s">
        <v>5</v>
      </c>
      <c r="BF48" s="11">
        <v>1.4347545321731069E-3</v>
      </c>
      <c r="BG48" s="11">
        <v>3.2331706021034444E-3</v>
      </c>
      <c r="BJ48" s="10">
        <v>43</v>
      </c>
      <c r="BK48" s="10">
        <v>-8.4723382145447221</v>
      </c>
      <c r="BL48" s="10">
        <v>15.001042109165837</v>
      </c>
      <c r="BM48" s="10">
        <v>-0.56478330991205006</v>
      </c>
      <c r="BN48" s="10">
        <v>0.58355508965198155</v>
      </c>
      <c r="BO48" s="10">
        <v>-41.489409282728502</v>
      </c>
      <c r="BP48" s="10">
        <v>24.544732853639061</v>
      </c>
      <c r="BQ48" s="10">
        <v>-41.489409282728502</v>
      </c>
      <c r="BR48" s="10">
        <v>24.544732853639061</v>
      </c>
    </row>
    <row r="49" spans="1:70" ht="13.5" thickBot="1">
      <c r="A49" s="10">
        <v>5</v>
      </c>
      <c r="B49" s="6" t="s">
        <v>18</v>
      </c>
      <c r="C49" s="18">
        <v>767.24</v>
      </c>
      <c r="D49" s="10">
        <v>41.298309828829801</v>
      </c>
      <c r="E49" s="10">
        <v>0.65997950609415379</v>
      </c>
      <c r="F49" s="10">
        <v>0.75128360260005467</v>
      </c>
      <c r="G49" s="10">
        <v>1</v>
      </c>
      <c r="H49" s="16">
        <v>38</v>
      </c>
      <c r="I49" s="16">
        <v>27</v>
      </c>
      <c r="J49" s="16">
        <v>34</v>
      </c>
      <c r="K49" s="16">
        <v>99</v>
      </c>
      <c r="L49" s="23"/>
      <c r="M49" s="10">
        <f t="shared" si="3"/>
        <v>0.38383838383838381</v>
      </c>
      <c r="N49" s="10">
        <f t="shared" si="4"/>
        <v>0.27272727272727271</v>
      </c>
      <c r="O49" s="10">
        <f t="shared" si="5"/>
        <v>0.34343434343434343</v>
      </c>
      <c r="Q49" s="11" t="s">
        <v>5</v>
      </c>
      <c r="R49" s="11">
        <v>9.7851119685669462E-4</v>
      </c>
      <c r="S49" s="11">
        <v>3.0952269099650555E-3</v>
      </c>
      <c r="T49" s="11">
        <v>0.31613552909687703</v>
      </c>
      <c r="U49" s="11">
        <v>0.7530153606340857</v>
      </c>
      <c r="V49" s="11">
        <v>-5.2150235441178151E-3</v>
      </c>
      <c r="W49" s="11">
        <v>7.1720459378312043E-3</v>
      </c>
      <c r="X49" s="11">
        <v>-5.2150235441178151E-3</v>
      </c>
      <c r="Y49" s="11">
        <v>7.1720459378312043E-3</v>
      </c>
      <c r="Z49" s="11">
        <v>4.3831359599812939E-3</v>
      </c>
      <c r="AC49" s="11" t="s">
        <v>5</v>
      </c>
      <c r="AD49" s="11">
        <v>-2.9131318957395774E-4</v>
      </c>
      <c r="AE49" s="11">
        <v>2.4398113981210379E-3</v>
      </c>
      <c r="AL49" s="11" t="s">
        <v>5</v>
      </c>
      <c r="AM49" s="11">
        <v>-6.1321575359682245E-2</v>
      </c>
      <c r="AN49" s="11">
        <v>0.22758572681652775</v>
      </c>
      <c r="BJ49" s="11">
        <v>43</v>
      </c>
      <c r="BK49" s="11">
        <v>-2.6552905930002062</v>
      </c>
      <c r="BL49" s="11">
        <v>10.564398283845112</v>
      </c>
      <c r="BM49" s="11">
        <v>-0.25134328729925198</v>
      </c>
      <c r="BN49" s="11">
        <v>0.80618228335075892</v>
      </c>
      <c r="BO49" s="11">
        <v>-25.907374441040869</v>
      </c>
      <c r="BP49" s="11">
        <v>20.596793255040456</v>
      </c>
      <c r="BQ49" s="11">
        <v>-25.907374441040869</v>
      </c>
      <c r="BR49" s="11">
        <v>20.596793255040456</v>
      </c>
    </row>
    <row r="50" spans="1:70">
      <c r="A50" s="10">
        <v>2</v>
      </c>
      <c r="B50" s="6" t="s">
        <v>24</v>
      </c>
      <c r="C50" s="18">
        <v>978.29</v>
      </c>
      <c r="D50" s="10">
        <v>52.658520831090534</v>
      </c>
      <c r="E50" s="10">
        <v>0.79503456830719754</v>
      </c>
      <c r="F50" s="10">
        <v>0.60656412290588713</v>
      </c>
      <c r="G50" s="10">
        <v>1</v>
      </c>
      <c r="H50" s="16">
        <v>37</v>
      </c>
      <c r="I50" s="16">
        <v>28</v>
      </c>
      <c r="J50" s="16">
        <v>32</v>
      </c>
      <c r="K50" s="16">
        <v>97</v>
      </c>
      <c r="L50" s="23"/>
      <c r="M50" s="10">
        <f t="shared" si="3"/>
        <v>0.38144329896907214</v>
      </c>
      <c r="N50" s="10">
        <f t="shared" si="4"/>
        <v>0.28865979381443296</v>
      </c>
      <c r="O50" s="10">
        <f t="shared" si="5"/>
        <v>0.32989690721649484</v>
      </c>
    </row>
    <row r="51" spans="1:70">
      <c r="A51" s="10">
        <v>5</v>
      </c>
      <c r="B51" s="6" t="s">
        <v>20</v>
      </c>
      <c r="C51" s="18">
        <v>888.52</v>
      </c>
      <c r="D51" s="10">
        <v>47.826461405964046</v>
      </c>
      <c r="E51" s="10">
        <v>0.74111474380683218</v>
      </c>
      <c r="F51" s="10">
        <v>0.67137838549668361</v>
      </c>
      <c r="G51" s="10">
        <v>1</v>
      </c>
      <c r="H51" s="16">
        <v>40</v>
      </c>
      <c r="I51" s="16">
        <v>27</v>
      </c>
      <c r="J51" s="16">
        <v>28</v>
      </c>
      <c r="K51" s="16">
        <v>95</v>
      </c>
      <c r="L51" s="23"/>
      <c r="M51" s="10">
        <f t="shared" si="3"/>
        <v>0.42105263157894735</v>
      </c>
      <c r="N51" s="10">
        <f t="shared" si="4"/>
        <v>0.28421052631578947</v>
      </c>
      <c r="O51" s="10">
        <f t="shared" si="5"/>
        <v>0.29473684210526313</v>
      </c>
    </row>
    <row r="52" spans="1:70">
      <c r="A52" s="10">
        <v>5</v>
      </c>
      <c r="B52" s="6" t="s">
        <v>26</v>
      </c>
      <c r="C52" s="18">
        <v>779.67</v>
      </c>
      <c r="D52" s="10">
        <v>41.967380772957263</v>
      </c>
      <c r="E52" s="10">
        <v>0.66870741599920136</v>
      </c>
      <c r="F52" s="10">
        <v>0.74352564971739277</v>
      </c>
      <c r="G52" s="10">
        <v>1</v>
      </c>
      <c r="H52" s="9">
        <v>40</v>
      </c>
      <c r="I52" s="9">
        <v>28</v>
      </c>
      <c r="J52" s="9">
        <v>25</v>
      </c>
      <c r="K52" s="9">
        <v>93</v>
      </c>
      <c r="L52" s="23"/>
      <c r="M52" s="10">
        <f t="shared" si="3"/>
        <v>0.43010752688172044</v>
      </c>
      <c r="N52" s="10">
        <f t="shared" si="4"/>
        <v>0.30107526881720431</v>
      </c>
      <c r="O52" s="10">
        <f t="shared" si="5"/>
        <v>0.26881720430107525</v>
      </c>
      <c r="AZ52" t="s">
        <v>65</v>
      </c>
      <c r="BE52" t="s">
        <v>65</v>
      </c>
    </row>
    <row r="53" spans="1:70" ht="13.5" thickBot="1">
      <c r="A53" s="10">
        <v>5</v>
      </c>
      <c r="B53" s="6" t="s">
        <v>28</v>
      </c>
      <c r="C53" s="18">
        <v>921.04</v>
      </c>
      <c r="D53" s="10">
        <v>49.576918936376359</v>
      </c>
      <c r="E53" s="10">
        <v>0.7612771567716734</v>
      </c>
      <c r="F53" s="10">
        <v>0.64842662698075337</v>
      </c>
      <c r="G53" s="10">
        <v>1</v>
      </c>
      <c r="H53" s="9">
        <v>36</v>
      </c>
      <c r="I53" s="9">
        <v>28</v>
      </c>
      <c r="J53" s="9">
        <v>29</v>
      </c>
      <c r="K53" s="9">
        <v>93</v>
      </c>
      <c r="L53" s="23"/>
      <c r="M53" s="10">
        <f t="shared" si="3"/>
        <v>0.38709677419354838</v>
      </c>
      <c r="N53" s="10">
        <f t="shared" si="4"/>
        <v>0.30107526881720431</v>
      </c>
      <c r="O53" s="10">
        <f t="shared" si="5"/>
        <v>0.31182795698924731</v>
      </c>
      <c r="Q53" t="s">
        <v>65</v>
      </c>
      <c r="AC53" t="s">
        <v>65</v>
      </c>
      <c r="AL53" t="s">
        <v>65</v>
      </c>
      <c r="BJ53" t="s">
        <v>65</v>
      </c>
    </row>
    <row r="54" spans="1:70" ht="13.5" thickBot="1">
      <c r="A54" s="10">
        <v>5</v>
      </c>
      <c r="B54" s="6" t="s">
        <v>36</v>
      </c>
      <c r="C54" s="18">
        <v>841.25</v>
      </c>
      <c r="D54" s="10">
        <v>45.282054042415758</v>
      </c>
      <c r="E54" s="10">
        <v>0.71057912450187155</v>
      </c>
      <c r="F54" s="10">
        <v>0.70361730210545115</v>
      </c>
      <c r="G54" s="10">
        <v>1</v>
      </c>
      <c r="H54" s="4">
        <v>33</v>
      </c>
      <c r="I54" s="4">
        <v>26</v>
      </c>
      <c r="J54" s="4">
        <v>34</v>
      </c>
      <c r="K54" s="4">
        <v>93</v>
      </c>
      <c r="L54" s="23"/>
      <c r="M54" s="10">
        <f t="shared" si="3"/>
        <v>0.35483870967741937</v>
      </c>
      <c r="N54" s="10">
        <f t="shared" si="4"/>
        <v>0.27956989247311825</v>
      </c>
      <c r="O54" s="10">
        <f t="shared" si="5"/>
        <v>0.36559139784946237</v>
      </c>
      <c r="AZ54" s="12" t="s">
        <v>66</v>
      </c>
      <c r="BA54" s="12" t="s">
        <v>67</v>
      </c>
      <c r="BB54" s="12" t="s">
        <v>68</v>
      </c>
      <c r="BE54" s="12" t="s">
        <v>66</v>
      </c>
      <c r="BF54" s="12" t="s">
        <v>67</v>
      </c>
      <c r="BG54" s="12" t="s">
        <v>68</v>
      </c>
    </row>
    <row r="55" spans="1:70">
      <c r="A55" s="10">
        <v>5</v>
      </c>
      <c r="B55" s="6" t="s">
        <v>14</v>
      </c>
      <c r="C55" s="18">
        <v>704.47</v>
      </c>
      <c r="D55" s="10">
        <v>37.919582301647111</v>
      </c>
      <c r="E55" s="10">
        <v>0.61455485393339482</v>
      </c>
      <c r="F55" s="10">
        <v>0.7888740910353842</v>
      </c>
      <c r="G55" s="10">
        <v>1</v>
      </c>
      <c r="H55" s="15">
        <v>35</v>
      </c>
      <c r="I55" s="15">
        <v>29</v>
      </c>
      <c r="J55" s="15">
        <v>27</v>
      </c>
      <c r="K55" s="15">
        <v>91</v>
      </c>
      <c r="L55" s="23"/>
      <c r="M55" s="10">
        <f t="shared" si="3"/>
        <v>0.38461538461538464</v>
      </c>
      <c r="N55" s="10">
        <f t="shared" si="4"/>
        <v>0.31868131868131866</v>
      </c>
      <c r="O55" s="10">
        <f t="shared" si="5"/>
        <v>0.2967032967032967</v>
      </c>
      <c r="Q55" s="12" t="s">
        <v>66</v>
      </c>
      <c r="R55" s="12" t="s">
        <v>67</v>
      </c>
      <c r="S55" s="12" t="s">
        <v>68</v>
      </c>
      <c r="AC55" s="12" t="s">
        <v>66</v>
      </c>
      <c r="AD55" s="12" t="s">
        <v>84</v>
      </c>
      <c r="AE55" s="12" t="s">
        <v>68</v>
      </c>
      <c r="AL55" s="12" t="s">
        <v>66</v>
      </c>
      <c r="AM55" s="12" t="s">
        <v>86</v>
      </c>
      <c r="AN55" s="12" t="s">
        <v>68</v>
      </c>
      <c r="AO55" s="25" t="s">
        <v>104</v>
      </c>
      <c r="AZ55" s="10">
        <v>1</v>
      </c>
      <c r="BA55" s="10">
        <v>0.65103580924851279</v>
      </c>
      <c r="BB55" s="10">
        <v>2.4578640498214344E-2</v>
      </c>
      <c r="BE55" s="10">
        <v>1</v>
      </c>
      <c r="BF55" s="10">
        <v>0.67425869540127692</v>
      </c>
      <c r="BG55" s="10">
        <v>1.3557543454502108E-3</v>
      </c>
      <c r="BJ55" s="12" t="s">
        <v>66</v>
      </c>
      <c r="BK55" s="12" t="s">
        <v>105</v>
      </c>
      <c r="BL55" s="12" t="s">
        <v>68</v>
      </c>
    </row>
    <row r="56" spans="1:70">
      <c r="A56" s="10">
        <v>5</v>
      </c>
      <c r="B56" t="s">
        <v>90</v>
      </c>
      <c r="C56" s="18">
        <v>960</v>
      </c>
      <c r="D56" s="10">
        <v>51.674023038001941</v>
      </c>
      <c r="E56" s="10">
        <v>0.784495292287817</v>
      </c>
      <c r="F56" s="10">
        <v>0.62013477275367546</v>
      </c>
      <c r="G56" s="10">
        <v>1</v>
      </c>
      <c r="H56" s="15">
        <v>36</v>
      </c>
      <c r="I56" s="15">
        <v>23</v>
      </c>
      <c r="J56" s="15">
        <v>30</v>
      </c>
      <c r="K56" s="15">
        <v>89</v>
      </c>
      <c r="L56" s="23"/>
      <c r="M56" s="10">
        <f t="shared" si="3"/>
        <v>0.4044943820224719</v>
      </c>
      <c r="N56" s="10">
        <f t="shared" si="4"/>
        <v>0.25842696629213485</v>
      </c>
      <c r="O56" s="10">
        <f t="shared" si="5"/>
        <v>0.33707865168539325</v>
      </c>
      <c r="Q56" s="10">
        <v>1</v>
      </c>
      <c r="R56" s="10">
        <v>0.74390743586169583</v>
      </c>
      <c r="S56" s="10">
        <v>-2.334055991997952E-2</v>
      </c>
      <c r="AC56" s="10">
        <v>1</v>
      </c>
      <c r="AD56" s="10">
        <v>0.68758930643890659</v>
      </c>
      <c r="AE56" s="10">
        <v>5.7961399728242435E-3</v>
      </c>
      <c r="AL56" s="10">
        <v>1</v>
      </c>
      <c r="AM56" s="10">
        <v>42.513233403643319</v>
      </c>
      <c r="AN56" s="10">
        <v>1.3854639803592619</v>
      </c>
      <c r="AO56">
        <f>AM56*18.578</f>
        <v>789.81085017288558</v>
      </c>
      <c r="AP56">
        <f>AN56*18.578</f>
        <v>25.739149827114367</v>
      </c>
      <c r="AZ56" s="10">
        <v>2</v>
      </c>
      <c r="BA56" s="10">
        <v>0.68376806834290926</v>
      </c>
      <c r="BB56" s="10">
        <v>4.3912805734878102E-2</v>
      </c>
      <c r="BE56" s="10">
        <v>2</v>
      </c>
      <c r="BF56" s="10">
        <v>0.68074852316309398</v>
      </c>
      <c r="BG56" s="10">
        <v>4.6932350914693388E-2</v>
      </c>
      <c r="BJ56" s="10">
        <v>1</v>
      </c>
      <c r="BK56" s="10">
        <v>772.07487373328752</v>
      </c>
      <c r="BL56" s="10">
        <v>72.825126266712459</v>
      </c>
    </row>
    <row r="57" spans="1:70">
      <c r="A57" s="10">
        <v>5</v>
      </c>
      <c r="B57" s="6" t="s">
        <v>30</v>
      </c>
      <c r="C57" s="18">
        <v>890.08</v>
      </c>
      <c r="D57" s="10">
        <v>44.445580794488109</v>
      </c>
      <c r="E57" s="10">
        <v>0.70023150703337234</v>
      </c>
      <c r="F57" s="10">
        <v>0.71391584697201682</v>
      </c>
      <c r="G57" s="10">
        <v>1</v>
      </c>
      <c r="H57" s="4">
        <v>34</v>
      </c>
      <c r="I57" s="4">
        <v>22</v>
      </c>
      <c r="J57" s="4">
        <v>33</v>
      </c>
      <c r="K57" s="4">
        <v>89</v>
      </c>
      <c r="L57" s="23"/>
      <c r="M57" s="10">
        <f t="shared" si="3"/>
        <v>0.38202247191011235</v>
      </c>
      <c r="N57" s="10">
        <f t="shared" si="4"/>
        <v>0.24719101123595505</v>
      </c>
      <c r="O57" s="10">
        <f t="shared" si="5"/>
        <v>0.3707865168539326</v>
      </c>
      <c r="Q57" s="10">
        <v>2</v>
      </c>
      <c r="R57" s="10">
        <v>0.71844871737143379</v>
      </c>
      <c r="S57" s="10">
        <v>-1.7272144212104434E-2</v>
      </c>
      <c r="AC57" s="10">
        <v>2</v>
      </c>
      <c r="AD57" s="10">
        <v>0.70493763643455787</v>
      </c>
      <c r="AE57" s="10">
        <v>8.0500305362949387E-3</v>
      </c>
      <c r="AL57" s="10">
        <v>2</v>
      </c>
      <c r="AM57" s="10">
        <v>44.266994640679016</v>
      </c>
      <c r="AN57" s="10">
        <v>1.2115283434958144</v>
      </c>
      <c r="AO57">
        <f t="shared" ref="AO57:AO118" si="6">AM57*18.578</f>
        <v>822.39222643453468</v>
      </c>
      <c r="AP57">
        <f t="shared" ref="AP57:AP118" si="7">AN57*18.578</f>
        <v>22.507773565465239</v>
      </c>
      <c r="AZ57" s="10">
        <v>3</v>
      </c>
      <c r="BA57" s="10">
        <v>0.66530290835359818</v>
      </c>
      <c r="BB57" s="10">
        <v>6.3646168384753121E-2</v>
      </c>
      <c r="BE57" s="10">
        <v>3</v>
      </c>
      <c r="BF57" s="10">
        <v>0.6571085057492756</v>
      </c>
      <c r="BG57" s="10">
        <v>7.1840570989075703E-2</v>
      </c>
      <c r="BJ57" s="10">
        <v>2</v>
      </c>
      <c r="BK57" s="10">
        <v>823.27636797700313</v>
      </c>
      <c r="BL57" s="10">
        <v>144.25363202299684</v>
      </c>
    </row>
    <row r="58" spans="1:70">
      <c r="A58" s="10">
        <v>5</v>
      </c>
      <c r="B58" s="6" t="s">
        <v>101</v>
      </c>
      <c r="C58" s="18">
        <v>825.71</v>
      </c>
      <c r="D58" s="10">
        <v>47.910431693400803</v>
      </c>
      <c r="E58" s="10">
        <v>0.74209789150622807</v>
      </c>
      <c r="F58" s="10">
        <v>0.6702915182381548</v>
      </c>
      <c r="G58" s="10">
        <v>1</v>
      </c>
      <c r="H58" s="4">
        <v>36</v>
      </c>
      <c r="I58" s="4">
        <v>21</v>
      </c>
      <c r="J58" s="4">
        <v>32</v>
      </c>
      <c r="K58" s="4">
        <v>89</v>
      </c>
      <c r="M58" s="10">
        <f t="shared" si="3"/>
        <v>0.4044943820224719</v>
      </c>
      <c r="N58" s="10">
        <f t="shared" si="4"/>
        <v>0.23595505617977527</v>
      </c>
      <c r="O58" s="10">
        <f t="shared" si="5"/>
        <v>0.3595505617977528</v>
      </c>
      <c r="Q58" s="10">
        <v>3</v>
      </c>
      <c r="R58" s="10">
        <v>0.71843743131985027</v>
      </c>
      <c r="S58" s="10">
        <v>-2.7574445580780593E-2</v>
      </c>
      <c r="AC58" s="10">
        <v>3</v>
      </c>
      <c r="AD58" s="10">
        <v>0.70318891606345491</v>
      </c>
      <c r="AE58" s="10">
        <v>1.97967926028354E-2</v>
      </c>
      <c r="AL58" s="10">
        <v>3</v>
      </c>
      <c r="AM58" s="10">
        <v>44.250709987777704</v>
      </c>
      <c r="AN58" s="10">
        <v>2.0508294674919725</v>
      </c>
      <c r="AO58">
        <f t="shared" si="6"/>
        <v>822.08969015293417</v>
      </c>
      <c r="AP58">
        <f t="shared" si="7"/>
        <v>38.100309847065866</v>
      </c>
      <c r="AZ58" s="10">
        <v>4</v>
      </c>
      <c r="BA58" s="10">
        <v>0.66232724843592572</v>
      </c>
      <c r="BB58" s="10">
        <v>5.1364896633983248E-2</v>
      </c>
      <c r="BE58" s="10">
        <v>4</v>
      </c>
      <c r="BF58" s="10">
        <v>0.66961245935523328</v>
      </c>
      <c r="BG58" s="10">
        <v>4.4079685714675687E-2</v>
      </c>
      <c r="BJ58" s="10">
        <v>3</v>
      </c>
      <c r="BK58" s="10">
        <v>798.91909012728661</v>
      </c>
      <c r="BL58" s="10">
        <v>-4.0290901272866222</v>
      </c>
    </row>
    <row r="59" spans="1:70">
      <c r="A59" s="10">
        <v>5</v>
      </c>
      <c r="B59" s="6" t="s">
        <v>22</v>
      </c>
      <c r="C59" s="18">
        <v>654.24</v>
      </c>
      <c r="D59" s="10">
        <v>35.215846700398323</v>
      </c>
      <c r="E59" s="10">
        <v>0.5766582976840896</v>
      </c>
      <c r="F59" s="10">
        <v>0.81698543910652888</v>
      </c>
      <c r="G59" s="10">
        <v>1</v>
      </c>
      <c r="H59" s="15">
        <v>34</v>
      </c>
      <c r="I59" s="15">
        <v>25</v>
      </c>
      <c r="J59" s="15">
        <v>29</v>
      </c>
      <c r="K59" s="15">
        <v>88</v>
      </c>
      <c r="L59" s="23"/>
      <c r="M59" s="10">
        <f t="shared" si="3"/>
        <v>0.38636363636363635</v>
      </c>
      <c r="N59" s="10">
        <f t="shared" si="4"/>
        <v>0.28409090909090912</v>
      </c>
      <c r="O59" s="10">
        <f t="shared" si="5"/>
        <v>0.32954545454545453</v>
      </c>
      <c r="Q59" s="10">
        <v>4</v>
      </c>
      <c r="R59" s="10">
        <v>0.68763097742405865</v>
      </c>
      <c r="S59" s="10">
        <v>-7.3061301282132396E-2</v>
      </c>
      <c r="AC59" s="10">
        <v>4</v>
      </c>
      <c r="AD59" s="10">
        <v>0.72452434504188479</v>
      </c>
      <c r="AE59" s="10">
        <v>6.4338198857119111E-2</v>
      </c>
      <c r="AL59" s="10">
        <v>4</v>
      </c>
      <c r="AM59" s="10">
        <v>46.391083644185308</v>
      </c>
      <c r="AN59" s="10">
        <v>5.6882575120209609</v>
      </c>
      <c r="AO59">
        <f t="shared" si="6"/>
        <v>861.8535519416746</v>
      </c>
      <c r="AP59">
        <f t="shared" si="7"/>
        <v>105.67644805832541</v>
      </c>
      <c r="AZ59" s="10">
        <v>5</v>
      </c>
      <c r="BA59" s="10">
        <v>0.71046866510324991</v>
      </c>
      <c r="BB59" s="10">
        <v>-6.9893107488521844E-2</v>
      </c>
      <c r="BE59" s="10">
        <v>5</v>
      </c>
      <c r="BF59" s="10">
        <v>0.66640097784136287</v>
      </c>
      <c r="BG59" s="10">
        <v>-2.582542022663481E-2</v>
      </c>
      <c r="BJ59" s="10">
        <v>4</v>
      </c>
      <c r="BK59" s="10">
        <v>846.65420937265776</v>
      </c>
      <c r="BL59" s="10">
        <v>-148.93420937265773</v>
      </c>
    </row>
    <row r="60" spans="1:70">
      <c r="A60" s="10">
        <v>5</v>
      </c>
      <c r="B60" s="6" t="s">
        <v>32</v>
      </c>
      <c r="C60" s="18">
        <v>1001.27</v>
      </c>
      <c r="D60" s="10">
        <v>53.895467757562706</v>
      </c>
      <c r="E60" s="10">
        <v>0.80794327443409408</v>
      </c>
      <c r="F60" s="10">
        <v>0.58926026957254984</v>
      </c>
      <c r="G60" s="10">
        <v>1</v>
      </c>
      <c r="H60" s="4">
        <v>32</v>
      </c>
      <c r="I60" s="4">
        <v>24</v>
      </c>
      <c r="J60" s="4">
        <v>31</v>
      </c>
      <c r="K60" s="4">
        <v>87</v>
      </c>
      <c r="L60" s="23"/>
      <c r="M60" s="10">
        <f t="shared" si="3"/>
        <v>0.36781609195402298</v>
      </c>
      <c r="N60" s="10">
        <f t="shared" si="4"/>
        <v>0.27586206896551724</v>
      </c>
      <c r="O60" s="10">
        <f t="shared" si="5"/>
        <v>0.35632183908045978</v>
      </c>
      <c r="Q60" s="10">
        <v>5</v>
      </c>
      <c r="R60" s="10">
        <v>0.7046414087859203</v>
      </c>
      <c r="S60" s="10">
        <v>2.9246991468257155E-2</v>
      </c>
      <c r="AC60" s="10">
        <v>5</v>
      </c>
      <c r="AD60" s="10">
        <v>0.71052301453287203</v>
      </c>
      <c r="AE60" s="10">
        <v>-3.125295338460965E-2</v>
      </c>
      <c r="AL60" s="10">
        <v>5</v>
      </c>
      <c r="AM60" s="10">
        <v>45.153640157808603</v>
      </c>
      <c r="AN60" s="10">
        <v>-2.3670108112696866</v>
      </c>
      <c r="AO60">
        <f t="shared" si="6"/>
        <v>838.86432685176817</v>
      </c>
      <c r="AP60">
        <f t="shared" si="7"/>
        <v>-43.97432685176824</v>
      </c>
      <c r="AZ60" s="10">
        <v>6</v>
      </c>
      <c r="BA60" s="10">
        <v>0.62753613014877196</v>
      </c>
      <c r="BB60" s="10">
        <v>9.923551493022309E-2</v>
      </c>
      <c r="BE60" s="10">
        <v>6</v>
      </c>
      <c r="BF60" s="10">
        <v>0.65635769611615113</v>
      </c>
      <c r="BG60" s="10">
        <v>7.041394896284392E-2</v>
      </c>
      <c r="BJ60" s="10">
        <v>5</v>
      </c>
      <c r="BK60" s="10">
        <v>812.91716549937883</v>
      </c>
      <c r="BL60" s="10">
        <v>-224.8171654993788</v>
      </c>
    </row>
    <row r="61" spans="1:70">
      <c r="A61" s="10">
        <v>5</v>
      </c>
      <c r="B61" s="6" t="s">
        <v>34</v>
      </c>
      <c r="C61" s="18">
        <v>1116.1099999999999</v>
      </c>
      <c r="D61" s="10">
        <v>60.076972763483688</v>
      </c>
      <c r="E61" s="10">
        <v>0.86669633616009556</v>
      </c>
      <c r="F61" s="10">
        <v>0.49883610623797736</v>
      </c>
      <c r="G61" s="10">
        <v>1</v>
      </c>
      <c r="H61" s="4">
        <v>34</v>
      </c>
      <c r="I61" s="4">
        <v>24</v>
      </c>
      <c r="J61" s="4">
        <v>28</v>
      </c>
      <c r="K61" s="4">
        <v>86</v>
      </c>
      <c r="L61" s="23"/>
      <c r="M61" s="10">
        <f t="shared" si="3"/>
        <v>0.39534883720930231</v>
      </c>
      <c r="N61" s="10">
        <f t="shared" si="4"/>
        <v>0.27906976744186046</v>
      </c>
      <c r="O61" s="10">
        <f t="shared" si="5"/>
        <v>0.32558139534883723</v>
      </c>
      <c r="Q61" s="10">
        <v>6</v>
      </c>
      <c r="R61" s="10">
        <v>0.69239280947565551</v>
      </c>
      <c r="S61" s="10">
        <v>3.4881971050816585E-2</v>
      </c>
      <c r="AC61" s="10">
        <v>6</v>
      </c>
      <c r="AD61" s="10">
        <v>0.72107733179608757</v>
      </c>
      <c r="AE61" s="10">
        <v>-3.4730922458811375E-2</v>
      </c>
      <c r="AL61" s="10">
        <v>6</v>
      </c>
      <c r="AM61" s="10">
        <v>46.080049923678295</v>
      </c>
      <c r="AN61" s="10">
        <v>-2.7384631005541635</v>
      </c>
      <c r="AO61">
        <f t="shared" si="6"/>
        <v>856.07516748209537</v>
      </c>
      <c r="AP61">
        <f t="shared" si="7"/>
        <v>-50.87516748209525</v>
      </c>
      <c r="AZ61" s="10">
        <v>7</v>
      </c>
      <c r="BA61" s="10">
        <v>0.68315686785963259</v>
      </c>
      <c r="BB61" s="10">
        <v>-0.13744201340842976</v>
      </c>
      <c r="BE61" s="10">
        <v>7</v>
      </c>
      <c r="BF61" s="10">
        <v>0.66571703294231432</v>
      </c>
      <c r="BG61" s="10">
        <v>-0.1200021784911115</v>
      </c>
      <c r="BJ61" s="10">
        <v>6</v>
      </c>
      <c r="BK61" s="10">
        <v>826.04130947947999</v>
      </c>
      <c r="BL61" s="10">
        <v>81.418690520520045</v>
      </c>
    </row>
    <row r="62" spans="1:70">
      <c r="A62" s="10">
        <v>5</v>
      </c>
      <c r="B62" s="6" t="s">
        <v>38</v>
      </c>
      <c r="C62" s="18">
        <v>979.78</v>
      </c>
      <c r="D62" s="10">
        <v>52.738723221014105</v>
      </c>
      <c r="E62" s="10">
        <v>0.7958828550182383</v>
      </c>
      <c r="F62" s="10">
        <v>0.60545064298257856</v>
      </c>
      <c r="G62" s="10">
        <v>1</v>
      </c>
      <c r="H62" s="4">
        <v>36</v>
      </c>
      <c r="I62" s="4">
        <v>20</v>
      </c>
      <c r="J62" s="4">
        <v>30</v>
      </c>
      <c r="K62" s="4">
        <v>86</v>
      </c>
      <c r="L62" s="23"/>
      <c r="M62" s="10">
        <f t="shared" si="3"/>
        <v>0.41860465116279072</v>
      </c>
      <c r="N62" s="10">
        <f t="shared" si="4"/>
        <v>0.23255813953488372</v>
      </c>
      <c r="O62" s="10">
        <f t="shared" si="5"/>
        <v>0.34883720930232559</v>
      </c>
      <c r="Q62" s="10">
        <v>7</v>
      </c>
      <c r="R62" s="10">
        <v>0.70629698383910522</v>
      </c>
      <c r="S62" s="10">
        <v>8.6458331242483477E-2</v>
      </c>
      <c r="AC62" s="10">
        <v>7</v>
      </c>
      <c r="AD62" s="10">
        <v>0.71223623988239182</v>
      </c>
      <c r="AE62" s="10">
        <v>-0.10269624085862727</v>
      </c>
      <c r="AL62" s="10">
        <v>7</v>
      </c>
      <c r="AM62" s="10">
        <v>45.148976291553367</v>
      </c>
      <c r="AN62" s="10">
        <v>-7.592726964392206</v>
      </c>
      <c r="AO62">
        <f t="shared" si="6"/>
        <v>838.77768154447847</v>
      </c>
      <c r="AP62">
        <f t="shared" si="7"/>
        <v>-141.05768154447838</v>
      </c>
      <c r="AZ62" s="10">
        <v>8</v>
      </c>
      <c r="BA62" s="10">
        <v>0.63646310990178911</v>
      </c>
      <c r="BB62" s="10">
        <v>-2.9898986995901988E-2</v>
      </c>
      <c r="BE62" s="10">
        <v>8</v>
      </c>
      <c r="BF62" s="10">
        <v>0.63743077948245253</v>
      </c>
      <c r="BG62" s="10">
        <v>-3.0866656576565399E-2</v>
      </c>
      <c r="BJ62" s="10">
        <v>7</v>
      </c>
      <c r="BK62" s="10">
        <v>840.37335339099241</v>
      </c>
      <c r="BL62" s="10">
        <v>-289.91335339099237</v>
      </c>
    </row>
    <row r="63" spans="1:70">
      <c r="A63" s="10">
        <v>5</v>
      </c>
      <c r="B63" s="6" t="s">
        <v>16</v>
      </c>
      <c r="C63" s="18">
        <v>901.78</v>
      </c>
      <c r="D63" s="10">
        <v>48.540208849176445</v>
      </c>
      <c r="E63" s="10">
        <v>0.74942054770538624</v>
      </c>
      <c r="F63" s="10">
        <v>0.66209428533779002</v>
      </c>
      <c r="G63" s="10">
        <v>1</v>
      </c>
      <c r="H63" s="16">
        <v>37</v>
      </c>
      <c r="I63" s="16">
        <v>20</v>
      </c>
      <c r="J63" s="16">
        <v>27</v>
      </c>
      <c r="K63" s="16">
        <v>84</v>
      </c>
      <c r="L63" s="23"/>
      <c r="M63" s="10">
        <f t="shared" si="3"/>
        <v>0.44047619047619047</v>
      </c>
      <c r="N63" s="10">
        <f t="shared" si="4"/>
        <v>0.23809523809523808</v>
      </c>
      <c r="O63" s="10">
        <f t="shared" si="5"/>
        <v>0.32142857142857145</v>
      </c>
      <c r="Q63" s="10">
        <v>8</v>
      </c>
      <c r="R63" s="10">
        <v>0.70331586999733742</v>
      </c>
      <c r="S63" s="10">
        <v>0.14790106981837747</v>
      </c>
      <c r="AC63" s="10">
        <v>8</v>
      </c>
      <c r="AD63" s="10">
        <v>0.71183786731307597</v>
      </c>
      <c r="AE63" s="10">
        <v>-0.18702387991299774</v>
      </c>
      <c r="AL63" s="10">
        <v>8</v>
      </c>
      <c r="AM63" s="10">
        <v>45.266822813647742</v>
      </c>
      <c r="AN63" s="10">
        <v>-13.611100992138429</v>
      </c>
      <c r="AO63">
        <f t="shared" si="6"/>
        <v>840.96703423194776</v>
      </c>
      <c r="AP63">
        <f t="shared" si="7"/>
        <v>-252.86703423194771</v>
      </c>
      <c r="AZ63" s="10">
        <v>9</v>
      </c>
      <c r="BA63" s="10">
        <v>0.70337528680006267</v>
      </c>
      <c r="BB63" s="10">
        <v>2.3899493726409426E-2</v>
      </c>
      <c r="BE63" s="10">
        <v>9</v>
      </c>
      <c r="BF63" s="10">
        <v>0.68396000467696438</v>
      </c>
      <c r="BG63" s="10">
        <v>4.3314775849507714E-2</v>
      </c>
      <c r="BJ63" s="10">
        <v>8</v>
      </c>
      <c r="BK63" s="10">
        <v>824.12094879937388</v>
      </c>
      <c r="BL63" s="10">
        <v>29.799051200626081</v>
      </c>
    </row>
    <row r="64" spans="1:70">
      <c r="A64" s="10">
        <v>5</v>
      </c>
      <c r="B64" s="6" t="s">
        <v>24</v>
      </c>
      <c r="C64" s="18">
        <v>1554.13</v>
      </c>
      <c r="D64" s="10">
        <v>83.654322316718705</v>
      </c>
      <c r="E64" s="10">
        <v>0.99387315655658082</v>
      </c>
      <c r="F64" s="10">
        <v>0.11052668762004086</v>
      </c>
      <c r="G64" s="10">
        <v>1</v>
      </c>
      <c r="H64" s="9">
        <v>32</v>
      </c>
      <c r="I64" s="9">
        <v>19</v>
      </c>
      <c r="J64" s="9">
        <v>24</v>
      </c>
      <c r="K64" s="9">
        <v>75</v>
      </c>
      <c r="M64" s="10">
        <f t="shared" si="3"/>
        <v>0.42666666666666669</v>
      </c>
      <c r="N64" s="10">
        <f t="shared" si="4"/>
        <v>0.25333333333333335</v>
      </c>
      <c r="O64" s="10">
        <f t="shared" si="5"/>
        <v>0.32</v>
      </c>
      <c r="Q64" s="10">
        <v>9</v>
      </c>
      <c r="R64" s="10">
        <v>0.71319784774384065</v>
      </c>
      <c r="S64" s="10">
        <v>-6.1641431913188605E-3</v>
      </c>
      <c r="AC64" s="10">
        <v>9</v>
      </c>
      <c r="AD64" s="10">
        <v>0.70566902160195477</v>
      </c>
      <c r="AE64" s="10">
        <v>1.5108286672234073E-3</v>
      </c>
      <c r="AL64" s="10">
        <v>9</v>
      </c>
      <c r="AM64" s="10">
        <v>44.609178945055575</v>
      </c>
      <c r="AN64" s="10">
        <v>0.39674203675086517</v>
      </c>
      <c r="AO64">
        <f t="shared" si="6"/>
        <v>828.74932644124249</v>
      </c>
      <c r="AP64">
        <f t="shared" si="7"/>
        <v>7.3706735587575727</v>
      </c>
      <c r="AZ64" s="10">
        <v>10</v>
      </c>
      <c r="BA64" s="10">
        <v>0.71909004461462878</v>
      </c>
      <c r="BB64" s="10">
        <v>-7.0620507286353718E-2</v>
      </c>
      <c r="BE64" s="10">
        <v>10</v>
      </c>
      <c r="BF64" s="10">
        <v>0.63066584400518721</v>
      </c>
      <c r="BG64" s="10">
        <v>1.7803693323087844E-2</v>
      </c>
      <c r="BJ64" s="10">
        <v>9</v>
      </c>
      <c r="BK64" s="10">
        <v>838.99295556345714</v>
      </c>
      <c r="BL64" s="10">
        <v>129.57704443654291</v>
      </c>
    </row>
    <row r="65" spans="3:64">
      <c r="Q65" s="10">
        <v>10</v>
      </c>
      <c r="R65" s="10">
        <v>0.71405692105959395</v>
      </c>
      <c r="S65" s="10">
        <v>-5.5971051695076546E-2</v>
      </c>
      <c r="AC65" s="10">
        <v>10</v>
      </c>
      <c r="AD65" s="10">
        <v>0.70513598148555645</v>
      </c>
      <c r="AE65" s="10">
        <v>4.7806903826966618E-2</v>
      </c>
      <c r="AL65" s="10">
        <v>10</v>
      </c>
      <c r="AM65" s="10">
        <v>44.559716178888607</v>
      </c>
      <c r="AN65" s="10">
        <v>4.2862306399293502</v>
      </c>
      <c r="AO65">
        <f t="shared" si="6"/>
        <v>827.83040717139249</v>
      </c>
      <c r="AP65">
        <f t="shared" si="7"/>
        <v>79.629592828607471</v>
      </c>
      <c r="AZ65" s="10">
        <v>11</v>
      </c>
      <c r="BA65" s="10">
        <v>0.63943876981946157</v>
      </c>
      <c r="BB65" s="10">
        <v>4.5156547140241088E-2</v>
      </c>
      <c r="BE65" s="10">
        <v>11</v>
      </c>
      <c r="BF65" s="10">
        <v>0.65745047819879998</v>
      </c>
      <c r="BG65" s="10">
        <v>2.7144838760902679E-2</v>
      </c>
      <c r="BJ65" s="10">
        <v>10</v>
      </c>
      <c r="BK65" s="10">
        <v>864.62512617863842</v>
      </c>
      <c r="BL65" s="10">
        <v>4.3748738213615752</v>
      </c>
    </row>
    <row r="66" spans="3:64">
      <c r="Q66" s="10">
        <v>11</v>
      </c>
      <c r="R66" s="10">
        <v>0.69796813459180795</v>
      </c>
      <c r="S66" s="10">
        <v>-6.8408301364994539E-2</v>
      </c>
      <c r="AC66" s="10">
        <v>11</v>
      </c>
      <c r="AD66" s="10">
        <v>0.71582496629585457</v>
      </c>
      <c r="AE66" s="10">
        <v>6.1127037619076341E-2</v>
      </c>
      <c r="AL66" s="10">
        <v>11</v>
      </c>
      <c r="AM66" s="10">
        <v>45.653435233019643</v>
      </c>
      <c r="AN66" s="10">
        <v>5.3289094757757098</v>
      </c>
      <c r="AO66">
        <f t="shared" si="6"/>
        <v>848.14951975903887</v>
      </c>
      <c r="AP66">
        <f t="shared" si="7"/>
        <v>99.000480240961139</v>
      </c>
      <c r="AZ66" s="10">
        <v>12</v>
      </c>
      <c r="BA66" s="10">
        <v>0.64302563022041059</v>
      </c>
      <c r="BB66" s="10">
        <v>-0.114601811443104</v>
      </c>
      <c r="BE66" s="10">
        <v>12</v>
      </c>
      <c r="BF66" s="10">
        <v>0.66927048690570912</v>
      </c>
      <c r="BG66" s="10">
        <v>-0.14084666812840252</v>
      </c>
      <c r="BJ66" s="10">
        <v>11</v>
      </c>
      <c r="BK66" s="10">
        <v>856.22894245654356</v>
      </c>
      <c r="BL66" s="10">
        <v>-1.4789424565435638</v>
      </c>
    </row>
    <row r="67" spans="3:64">
      <c r="C67" s="26">
        <f>MEDIAN(Table3[min])</f>
        <v>888.52</v>
      </c>
      <c r="H67" s="26">
        <f>PEARSON(Table3[sin min],Table3[aw length])</f>
        <v>-0.23876879468303383</v>
      </c>
      <c r="Q67" s="10">
        <v>12</v>
      </c>
      <c r="R67" s="10">
        <v>0.66567112377513238</v>
      </c>
      <c r="S67" s="10">
        <v>0.20356791100603699</v>
      </c>
      <c r="AC67" s="10">
        <v>12</v>
      </c>
      <c r="AD67" s="10">
        <v>0.7369612089896268</v>
      </c>
      <c r="AE67" s="10">
        <v>-0.24256915766527448</v>
      </c>
      <c r="AL67" s="10">
        <v>12</v>
      </c>
      <c r="AM67" s="10">
        <v>47.852732150474438</v>
      </c>
      <c r="AN67" s="10">
        <v>-18.223062648913448</v>
      </c>
      <c r="AO67">
        <f t="shared" si="6"/>
        <v>889.00805789151411</v>
      </c>
      <c r="AP67">
        <f t="shared" si="7"/>
        <v>-338.54805789151402</v>
      </c>
      <c r="AZ67" s="10">
        <v>13</v>
      </c>
      <c r="BA67" s="10">
        <v>0.64569568989644466</v>
      </c>
      <c r="BB67" s="10">
        <v>-2.452228849007454E-2</v>
      </c>
      <c r="BE67" s="10">
        <v>13</v>
      </c>
      <c r="BF67" s="10">
        <v>0.64460455214331802</v>
      </c>
      <c r="BG67" s="10">
        <v>-2.3431150736947903E-2</v>
      </c>
      <c r="BJ67" s="10">
        <v>12</v>
      </c>
      <c r="BK67" s="10">
        <v>875.46144452218641</v>
      </c>
      <c r="BL67" s="10">
        <v>62.358555477813638</v>
      </c>
    </row>
    <row r="68" spans="3:64">
      <c r="C68" s="26">
        <f t="array" ref="C68">MEDIAN(ABS(Table3[min]-$C$67))</f>
        <v>71.480000000000018</v>
      </c>
      <c r="Q68" s="10">
        <v>13</v>
      </c>
      <c r="R68" s="10">
        <v>0.67020536611610615</v>
      </c>
      <c r="S68" s="10">
        <v>5.7475507961681216E-2</v>
      </c>
      <c r="AC68" s="10">
        <v>13</v>
      </c>
      <c r="AD68" s="10">
        <v>0.73477946226128399</v>
      </c>
      <c r="AE68" s="10">
        <v>-4.886361793241345E-2</v>
      </c>
      <c r="AL68" s="10">
        <v>13</v>
      </c>
      <c r="AM68" s="10">
        <v>47.581700701254171</v>
      </c>
      <c r="AN68" s="10">
        <v>-4.2740249557487289</v>
      </c>
      <c r="AO68">
        <f t="shared" si="6"/>
        <v>883.97283562789994</v>
      </c>
      <c r="AP68">
        <f t="shared" si="7"/>
        <v>-79.402835627899876</v>
      </c>
      <c r="AZ68" s="10">
        <v>14</v>
      </c>
      <c r="BA68" s="10">
        <v>0.69711836672307959</v>
      </c>
      <c r="BB68" s="10">
        <v>-7.4422145221085589E-2</v>
      </c>
      <c r="BE68" s="10">
        <v>14</v>
      </c>
      <c r="BF68" s="10">
        <v>0.65498980631805404</v>
      </c>
      <c r="BG68" s="10">
        <v>-3.2293584816060039E-2</v>
      </c>
      <c r="BJ68" s="10">
        <v>13</v>
      </c>
      <c r="BK68" s="10">
        <v>867.06526080009166</v>
      </c>
      <c r="BL68" s="10">
        <v>129.90473919990836</v>
      </c>
    </row>
    <row r="69" spans="3:64">
      <c r="Q69" s="10">
        <v>14</v>
      </c>
      <c r="R69" s="10">
        <v>0.71042733228557153</v>
      </c>
      <c r="S69" s="10">
        <v>-6.9851774670843469E-2</v>
      </c>
      <c r="AC69" s="10">
        <v>14</v>
      </c>
      <c r="AD69" s="10">
        <v>0.70805700023553841</v>
      </c>
      <c r="AE69" s="10">
        <v>5.9838145592705616E-2</v>
      </c>
      <c r="AL69" s="10">
        <v>14</v>
      </c>
      <c r="AM69" s="10">
        <v>44.847403065926578</v>
      </c>
      <c r="AN69" s="10">
        <v>5.3178461535803692</v>
      </c>
      <c r="AO69">
        <f t="shared" si="6"/>
        <v>833.17505415878395</v>
      </c>
      <c r="AP69">
        <f t="shared" si="7"/>
        <v>98.794945841216091</v>
      </c>
      <c r="AZ69" s="10">
        <v>15</v>
      </c>
      <c r="BA69" s="10">
        <v>0.66858416851290881</v>
      </c>
      <c r="BB69" s="10">
        <v>-2.4768013512615594E-2</v>
      </c>
      <c r="BE69" s="10">
        <v>15</v>
      </c>
      <c r="BF69" s="10">
        <v>0.63818158911557699</v>
      </c>
      <c r="BG69" s="10">
        <v>5.634565884716225E-3</v>
      </c>
      <c r="BJ69" s="10">
        <v>14</v>
      </c>
      <c r="BK69" s="10">
        <v>867.4327257565385</v>
      </c>
      <c r="BL69" s="10">
        <v>133.48727424346146</v>
      </c>
    </row>
    <row r="70" spans="3:64" ht="13.5" thickBot="1">
      <c r="Q70" s="10">
        <v>15</v>
      </c>
      <c r="R70" s="10">
        <v>0.69135743197601762</v>
      </c>
      <c r="S70" s="10">
        <v>3.7522301515894307E-3</v>
      </c>
      <c r="AC70" s="10">
        <v>15</v>
      </c>
      <c r="AD70" s="10">
        <v>0.71834761247652101</v>
      </c>
      <c r="AE70" s="10">
        <v>5.5610681893791813E-4</v>
      </c>
      <c r="AL70" s="10">
        <v>15</v>
      </c>
      <c r="AM70" s="10">
        <v>46.058968642151989</v>
      </c>
      <c r="AN70" s="10">
        <v>-9.4925149849267143E-2</v>
      </c>
      <c r="AO70">
        <f t="shared" si="6"/>
        <v>855.68351943389962</v>
      </c>
      <c r="AP70">
        <f t="shared" si="7"/>
        <v>-1.7635194338996849</v>
      </c>
      <c r="AZ70" s="10">
        <v>16</v>
      </c>
      <c r="BA70" s="10">
        <v>0.7170311854218715</v>
      </c>
      <c r="BB70" s="10">
        <v>7.5724129659717199E-2</v>
      </c>
      <c r="BE70" s="10">
        <v>16</v>
      </c>
      <c r="BF70" s="10">
        <v>0.6750095050344016</v>
      </c>
      <c r="BG70" s="10">
        <v>0.11774581004718709</v>
      </c>
      <c r="BJ70" s="11">
        <v>15</v>
      </c>
      <c r="BK70" s="11">
        <v>886.52622634308409</v>
      </c>
      <c r="BL70" s="11">
        <v>-118.82622634308404</v>
      </c>
    </row>
    <row r="71" spans="3:64">
      <c r="Q71" s="10">
        <v>16</v>
      </c>
      <c r="R71" s="10">
        <v>0.68733523535907104</v>
      </c>
      <c r="S71" s="10">
        <v>-6.4259611488326485E-3</v>
      </c>
      <c r="AC71" s="10">
        <v>16</v>
      </c>
      <c r="AD71" s="10">
        <v>0.72101985867909557</v>
      </c>
      <c r="AE71" s="10">
        <v>1.1347917984027678E-2</v>
      </c>
      <c r="AL71" s="10">
        <v>16</v>
      </c>
      <c r="AM71" s="10">
        <v>46.332398405684756</v>
      </c>
      <c r="AN71" s="10">
        <v>0.75286373232794546</v>
      </c>
      <c r="AO71">
        <f t="shared" si="6"/>
        <v>860.76329758081135</v>
      </c>
      <c r="AP71">
        <f t="shared" si="7"/>
        <v>13.986702419188569</v>
      </c>
      <c r="AZ71" s="10">
        <v>17</v>
      </c>
      <c r="BA71" s="10">
        <v>0.66980656947946215</v>
      </c>
      <c r="BB71" s="10">
        <v>0.19943246530170722</v>
      </c>
      <c r="BE71" s="10">
        <v>17</v>
      </c>
      <c r="BF71" s="10">
        <v>0.69612198583339779</v>
      </c>
      <c r="BG71" s="10">
        <v>0.17311704894777158</v>
      </c>
    </row>
    <row r="72" spans="3:64">
      <c r="Q72" s="10">
        <v>17</v>
      </c>
      <c r="R72" s="10">
        <v>0.71042733228557153</v>
      </c>
      <c r="S72" s="10">
        <v>-9.2801526076313312E-2</v>
      </c>
      <c r="AC72" s="10">
        <v>17</v>
      </c>
      <c r="AD72" s="10">
        <v>0.70805700023553841</v>
      </c>
      <c r="AE72" s="10">
        <v>7.8415099399511412E-2</v>
      </c>
      <c r="AL72" s="10">
        <v>17</v>
      </c>
      <c r="AM72" s="10">
        <v>44.847403065926578</v>
      </c>
      <c r="AN72" s="10">
        <v>7.009632137001617</v>
      </c>
      <c r="AO72">
        <f t="shared" si="6"/>
        <v>833.17505415878395</v>
      </c>
      <c r="AP72">
        <f t="shared" si="7"/>
        <v>130.22494584121603</v>
      </c>
      <c r="AZ72" s="10">
        <v>18</v>
      </c>
      <c r="BA72" s="10">
        <v>0.68849698721170072</v>
      </c>
      <c r="BB72" s="10">
        <v>0.16271995260401417</v>
      </c>
      <c r="BE72" s="10">
        <v>18</v>
      </c>
      <c r="BF72" s="10">
        <v>0.70001741224631686</v>
      </c>
      <c r="BG72" s="10">
        <v>0.15119952756939803</v>
      </c>
    </row>
    <row r="73" spans="3:64">
      <c r="Q73" s="10">
        <v>18</v>
      </c>
      <c r="R73" s="10">
        <v>0.67796530333659499</v>
      </c>
      <c r="S73" s="10">
        <v>-6.4166669610134952E-2</v>
      </c>
      <c r="AC73" s="10">
        <v>18</v>
      </c>
      <c r="AD73" s="10">
        <v>0.72767920386444873</v>
      </c>
      <c r="AE73" s="10">
        <v>6.1783421745865374E-2</v>
      </c>
      <c r="AL73" s="10">
        <v>18</v>
      </c>
      <c r="AM73" s="10">
        <v>46.99244058858941</v>
      </c>
      <c r="AN73" s="10">
        <v>5.1428807592413648</v>
      </c>
      <c r="AO73">
        <f t="shared" si="6"/>
        <v>873.02556125481408</v>
      </c>
      <c r="AP73">
        <f t="shared" si="7"/>
        <v>95.544438745186071</v>
      </c>
      <c r="AZ73" s="10">
        <v>19</v>
      </c>
      <c r="BA73" s="10">
        <v>0.68285126761799431</v>
      </c>
      <c r="BB73" s="10">
        <v>5.1037132636183147E-2</v>
      </c>
      <c r="BE73" s="10">
        <v>19</v>
      </c>
      <c r="BF73" s="10">
        <v>0.70930988433840414</v>
      </c>
      <c r="BG73" s="10">
        <v>2.4578515915773314E-2</v>
      </c>
    </row>
    <row r="74" spans="3:64">
      <c r="Q74" s="10">
        <v>19</v>
      </c>
      <c r="R74" s="10">
        <v>0.67227054033933931</v>
      </c>
      <c r="S74" s="10">
        <v>1.2584954905764278E-2</v>
      </c>
      <c r="AC74" s="10">
        <v>19</v>
      </c>
      <c r="AD74" s="10">
        <v>0.7326898424378574</v>
      </c>
      <c r="AE74" s="10">
        <v>-4.0109346653159905E-3</v>
      </c>
      <c r="AL74" s="10">
        <v>19</v>
      </c>
      <c r="AM74" s="10">
        <v>47.43091408844078</v>
      </c>
      <c r="AN74" s="10">
        <v>-0.65515781758277569</v>
      </c>
      <c r="AO74">
        <f t="shared" si="6"/>
        <v>881.17152193505274</v>
      </c>
      <c r="AP74">
        <f t="shared" si="7"/>
        <v>-12.171521935052807</v>
      </c>
      <c r="AZ74" s="10">
        <v>20</v>
      </c>
      <c r="BA74" s="10">
        <v>0.72565256493325025</v>
      </c>
      <c r="BB74" s="10">
        <v>-5.0856889915339432E-3</v>
      </c>
      <c r="BE74" s="10">
        <v>20</v>
      </c>
      <c r="BF74" s="10">
        <v>0.72290662002701056</v>
      </c>
      <c r="BG74" s="10">
        <v>-2.3397440852942486E-3</v>
      </c>
    </row>
    <row r="75" spans="3:64">
      <c r="Q75" s="10">
        <v>20</v>
      </c>
      <c r="R75" s="10">
        <v>0.66761686011726229</v>
      </c>
      <c r="S75" s="10">
        <v>2.6932024131064658E-2</v>
      </c>
      <c r="AC75" s="10">
        <v>20</v>
      </c>
      <c r="AD75" s="10">
        <v>0.73462986223937587</v>
      </c>
      <c r="AE75" s="10">
        <v>-1.5184348395968716E-2</v>
      </c>
      <c r="AL75" s="10">
        <v>20</v>
      </c>
      <c r="AM75" s="10">
        <v>47.713804346853763</v>
      </c>
      <c r="AN75" s="10">
        <v>-1.7050843554660986</v>
      </c>
      <c r="AO75">
        <f t="shared" si="6"/>
        <v>886.42705715584918</v>
      </c>
      <c r="AP75">
        <f t="shared" si="7"/>
        <v>-31.67705715584918</v>
      </c>
      <c r="AZ75" s="10">
        <v>21</v>
      </c>
      <c r="BA75" s="10">
        <v>0.66621970907851324</v>
      </c>
      <c r="BB75" s="10">
        <v>2.8329175169813703E-2</v>
      </c>
      <c r="BE75" s="10">
        <v>21</v>
      </c>
      <c r="BF75" s="10">
        <v>0.68430197712648866</v>
      </c>
      <c r="BG75" s="10">
        <v>1.0246907121838289E-2</v>
      </c>
    </row>
    <row r="76" spans="3:64">
      <c r="Q76" s="10">
        <v>21</v>
      </c>
      <c r="R76" s="10">
        <v>0.66996649035389966</v>
      </c>
      <c r="S76" s="10">
        <v>-0.12425163590269683</v>
      </c>
      <c r="AC76" s="10">
        <v>21</v>
      </c>
      <c r="AD76" s="10">
        <v>0.73429600840763543</v>
      </c>
      <c r="AE76" s="10">
        <v>0.10367493239598369</v>
      </c>
      <c r="AL76" s="10">
        <v>21</v>
      </c>
      <c r="AM76" s="10">
        <v>47.605418319639604</v>
      </c>
      <c r="AN76" s="10">
        <v>9.3210538517459014</v>
      </c>
      <c r="AO76">
        <f t="shared" si="6"/>
        <v>884.41346154226449</v>
      </c>
      <c r="AP76">
        <f t="shared" si="7"/>
        <v>173.16653845773536</v>
      </c>
      <c r="AZ76" s="10">
        <v>22</v>
      </c>
      <c r="BA76" s="10">
        <v>0.69834076768963294</v>
      </c>
      <c r="BB76" s="10">
        <v>-8.3771091547706678E-2</v>
      </c>
      <c r="BE76" s="10">
        <v>22</v>
      </c>
      <c r="BF76" s="10">
        <v>0.69899149489774404</v>
      </c>
      <c r="BG76" s="10">
        <v>-8.4421818755817779E-2</v>
      </c>
    </row>
    <row r="77" spans="3:64">
      <c r="Q77" s="10">
        <v>22</v>
      </c>
      <c r="R77" s="10">
        <v>0.6776638559960666</v>
      </c>
      <c r="S77" s="10">
        <v>-5.4967634494072604E-2</v>
      </c>
      <c r="AC77" s="10">
        <v>22</v>
      </c>
      <c r="AD77" s="10">
        <v>0.72997505559311637</v>
      </c>
      <c r="AE77" s="10">
        <v>5.2488627734831761E-2</v>
      </c>
      <c r="AL77" s="10">
        <v>22</v>
      </c>
      <c r="AM77" s="10">
        <v>47.110419873053544</v>
      </c>
      <c r="AN77" s="10">
        <v>4.3762848314356404</v>
      </c>
      <c r="AO77">
        <f t="shared" si="6"/>
        <v>875.21738040158868</v>
      </c>
      <c r="AP77">
        <f t="shared" si="7"/>
        <v>81.302619598411326</v>
      </c>
      <c r="AZ77" s="10">
        <v>23</v>
      </c>
      <c r="BA77" s="10">
        <v>0.63707431038506579</v>
      </c>
      <c r="BB77" s="10">
        <v>0.11392401079549452</v>
      </c>
      <c r="BE77" s="10">
        <v>23</v>
      </c>
      <c r="BF77" s="10">
        <v>0.6710472138874064</v>
      </c>
      <c r="BG77" s="10">
        <v>7.9951107293153911E-2</v>
      </c>
    </row>
    <row r="78" spans="3:64">
      <c r="Q78" s="10">
        <v>23</v>
      </c>
      <c r="R78" s="10">
        <v>0.67215110245823606</v>
      </c>
      <c r="S78" s="10">
        <v>-3.5805428385584426E-2</v>
      </c>
      <c r="AC78" s="10">
        <v>23</v>
      </c>
      <c r="AD78" s="10">
        <v>0.73244811551103306</v>
      </c>
      <c r="AE78" s="10">
        <v>3.8955918111440724E-2</v>
      </c>
      <c r="AL78" s="10">
        <v>23</v>
      </c>
      <c r="AM78" s="10">
        <v>47.442772897633489</v>
      </c>
      <c r="AN78" s="10">
        <v>3.0373648997612861</v>
      </c>
      <c r="AO78">
        <f t="shared" si="6"/>
        <v>881.3918348922349</v>
      </c>
      <c r="AP78">
        <f t="shared" si="7"/>
        <v>56.428165107765174</v>
      </c>
      <c r="AZ78" s="10">
        <v>24</v>
      </c>
      <c r="BA78" s="10">
        <v>0.71527792647075228</v>
      </c>
      <c r="BB78" s="10">
        <v>-1.4101353311422926E-2</v>
      </c>
      <c r="BE78" s="10">
        <v>24</v>
      </c>
      <c r="BF78" s="10">
        <v>0.72222267512796212</v>
      </c>
      <c r="BG78" s="10">
        <v>-2.1046101968632769E-2</v>
      </c>
    </row>
    <row r="79" spans="3:64">
      <c r="Q79" s="10">
        <v>24</v>
      </c>
      <c r="R79" s="10">
        <v>0.69444669764730516</v>
      </c>
      <c r="S79" s="10">
        <v>-2.3430441126829571E-2</v>
      </c>
      <c r="AC79" s="10">
        <v>24</v>
      </c>
      <c r="AD79" s="10">
        <v>0.71723899160155791</v>
      </c>
      <c r="AE79" s="10">
        <v>2.4203645077266578E-2</v>
      </c>
      <c r="AL79" s="10">
        <v>24</v>
      </c>
      <c r="AM79" s="10">
        <v>45.912978657963585</v>
      </c>
      <c r="AN79" s="10">
        <v>1.9414728438127113</v>
      </c>
      <c r="AO79">
        <f t="shared" si="6"/>
        <v>852.97131750764743</v>
      </c>
      <c r="AP79">
        <f t="shared" si="7"/>
        <v>36.068682492352551</v>
      </c>
      <c r="AZ79" s="10">
        <v>25</v>
      </c>
      <c r="BA79" s="10">
        <v>0.70215288583350943</v>
      </c>
      <c r="BB79" s="10">
        <v>-4.4067016468992026E-2</v>
      </c>
      <c r="BE79" s="10">
        <v>25</v>
      </c>
      <c r="BF79" s="10">
        <v>0.68642067655771033</v>
      </c>
      <c r="BG79" s="10">
        <v>-2.8334807193192924E-2</v>
      </c>
    </row>
    <row r="80" spans="3:64">
      <c r="Q80" s="10">
        <v>25</v>
      </c>
      <c r="R80" s="10">
        <v>0.66749742223615904</v>
      </c>
      <c r="S80" s="10">
        <v>-7.4978138066716826E-2</v>
      </c>
      <c r="AC80" s="10">
        <v>25</v>
      </c>
      <c r="AD80" s="10">
        <v>0.73438813531255154</v>
      </c>
      <c r="AE80" s="10">
        <v>7.1168130808773933E-2</v>
      </c>
      <c r="AL80" s="10">
        <v>25</v>
      </c>
      <c r="AM80" s="10">
        <v>47.725663156046473</v>
      </c>
      <c r="AN80" s="10">
        <v>5.9383480399918582</v>
      </c>
      <c r="AO80">
        <f t="shared" si="6"/>
        <v>886.64737011303134</v>
      </c>
      <c r="AP80">
        <f t="shared" si="7"/>
        <v>110.32262988696874</v>
      </c>
      <c r="AZ80" s="10">
        <v>26</v>
      </c>
      <c r="BA80" s="10">
        <v>0.6688897687545472</v>
      </c>
      <c r="BB80" s="10">
        <v>-5.5091135028087157E-2</v>
      </c>
      <c r="BE80" s="10">
        <v>26</v>
      </c>
      <c r="BF80" s="10">
        <v>0.69215969468640282</v>
      </c>
      <c r="BG80" s="10">
        <v>-7.8361060959942774E-2</v>
      </c>
    </row>
    <row r="81" spans="17:59">
      <c r="Q81" s="10">
        <v>26</v>
      </c>
      <c r="R81" s="10">
        <v>0.65140863576837293</v>
      </c>
      <c r="S81" s="10">
        <v>-2.7507600437121082E-2</v>
      </c>
      <c r="AC81" s="10">
        <v>26</v>
      </c>
      <c r="AD81" s="10">
        <v>0.74507712012284977</v>
      </c>
      <c r="AE81" s="10">
        <v>3.6426237587526278E-2</v>
      </c>
      <c r="AL81" s="10">
        <v>26</v>
      </c>
      <c r="AM81" s="10">
        <v>48.819382210177508</v>
      </c>
      <c r="AN81" s="10">
        <v>2.5790460382884177</v>
      </c>
      <c r="AO81">
        <f t="shared" si="6"/>
        <v>906.96648270067772</v>
      </c>
      <c r="AP81">
        <f t="shared" si="7"/>
        <v>47.913517299322223</v>
      </c>
      <c r="AZ81" s="10">
        <v>27</v>
      </c>
      <c r="BA81" s="10">
        <v>0.66591410883687485</v>
      </c>
      <c r="BB81" s="10">
        <v>-7.3394824667432634E-2</v>
      </c>
      <c r="BE81" s="10">
        <v>27</v>
      </c>
      <c r="BF81" s="10">
        <v>0.67678623201609889</v>
      </c>
      <c r="BG81" s="10">
        <v>-8.426694784665667E-2</v>
      </c>
    </row>
    <row r="82" spans="17:59">
      <c r="Q82" s="10">
        <v>27</v>
      </c>
      <c r="R82" s="10">
        <v>0.69110156488668673</v>
      </c>
      <c r="S82" s="10">
        <v>-4.2632027558411667E-2</v>
      </c>
      <c r="AC82" s="10">
        <v>27</v>
      </c>
      <c r="AD82" s="10">
        <v>0.72191577634322612</v>
      </c>
      <c r="AE82" s="10">
        <v>3.9324828956604718E-2</v>
      </c>
      <c r="AL82" s="10">
        <v>27</v>
      </c>
      <c r="AM82" s="10">
        <v>46.243066130600788</v>
      </c>
      <c r="AN82" s="10">
        <v>3.3306231793356957</v>
      </c>
      <c r="AO82">
        <f t="shared" si="6"/>
        <v>859.10368257430139</v>
      </c>
      <c r="AP82">
        <f t="shared" si="7"/>
        <v>61.876317425698552</v>
      </c>
      <c r="AZ82" s="10">
        <v>28</v>
      </c>
      <c r="BA82" s="10">
        <v>0.6489769500557554</v>
      </c>
      <c r="BB82" s="10">
        <v>-5.9451051635803775E-2</v>
      </c>
      <c r="BE82" s="10">
        <v>28</v>
      </c>
      <c r="BF82" s="10">
        <v>0.68143246806214253</v>
      </c>
      <c r="BG82" s="10">
        <v>-9.1906569642190905E-2</v>
      </c>
    </row>
    <row r="83" spans="17:59">
      <c r="Q83" s="10">
        <v>28</v>
      </c>
      <c r="R83" s="10">
        <v>0.66686593863102861</v>
      </c>
      <c r="S83" s="10">
        <v>2.2807485385358373E-2</v>
      </c>
      <c r="AC83" s="10">
        <v>28</v>
      </c>
      <c r="AD83" s="10">
        <v>0.73365590891149535</v>
      </c>
      <c r="AE83" s="10">
        <v>-9.5353607943238217E-3</v>
      </c>
      <c r="AL83" s="10">
        <v>28</v>
      </c>
      <c r="AM83" s="10">
        <v>47.735123650926695</v>
      </c>
      <c r="AN83" s="10">
        <v>-1.3393867578273273</v>
      </c>
      <c r="AO83">
        <f t="shared" si="6"/>
        <v>886.82312718691617</v>
      </c>
      <c r="AP83">
        <f t="shared" si="7"/>
        <v>-24.883127186916084</v>
      </c>
      <c r="AZ83" s="10">
        <v>29</v>
      </c>
      <c r="BA83" s="10">
        <v>0.68048680818359841</v>
      </c>
      <c r="BB83" s="10">
        <v>4.3686870615051721E-3</v>
      </c>
      <c r="BE83" s="10">
        <v>29</v>
      </c>
      <c r="BF83" s="10">
        <v>0.67644425956657461</v>
      </c>
      <c r="BG83" s="10">
        <v>8.4112356785289721E-3</v>
      </c>
    </row>
    <row r="84" spans="17:59">
      <c r="Q84" s="10">
        <v>29</v>
      </c>
      <c r="R84" s="10">
        <v>0.67019408006452263</v>
      </c>
      <c r="S84" s="10">
        <v>-3.3862900172717758E-2</v>
      </c>
      <c r="AC84" s="10">
        <v>29</v>
      </c>
      <c r="AD84" s="10">
        <v>0.73303074189018103</v>
      </c>
      <c r="AE84" s="10">
        <v>3.8385248025443852E-2</v>
      </c>
      <c r="AL84" s="10">
        <v>29</v>
      </c>
      <c r="AM84" s="10">
        <v>47.565416048352859</v>
      </c>
      <c r="AN84" s="10">
        <v>2.915798291188537</v>
      </c>
      <c r="AO84">
        <f t="shared" si="6"/>
        <v>883.67029934629943</v>
      </c>
      <c r="AP84">
        <f t="shared" si="7"/>
        <v>54.169700653700637</v>
      </c>
      <c r="AZ84" s="10">
        <v>30</v>
      </c>
      <c r="BA84" s="10">
        <v>0.68018120794196013</v>
      </c>
      <c r="BB84" s="10">
        <v>-4.3835533869308496E-2</v>
      </c>
      <c r="BE84" s="10">
        <v>30</v>
      </c>
      <c r="BF84" s="10">
        <v>0.66892851445618484</v>
      </c>
      <c r="BG84" s="10">
        <v>-3.2582840383533207E-2</v>
      </c>
    </row>
    <row r="85" spans="17:59">
      <c r="Q85" s="10">
        <v>30</v>
      </c>
      <c r="R85" s="10">
        <v>0.65565842209594238</v>
      </c>
      <c r="S85" s="10">
        <v>-6.6132523675990762E-2</v>
      </c>
      <c r="AC85" s="10">
        <v>30</v>
      </c>
      <c r="AD85" s="10">
        <v>0.74113960740282081</v>
      </c>
      <c r="AE85" s="10">
        <v>6.6609868048664089E-2</v>
      </c>
      <c r="AL85" s="10">
        <v>30</v>
      </c>
      <c r="AM85" s="10">
        <v>48.505950175358009</v>
      </c>
      <c r="AN85" s="10">
        <v>5.3706780946387624</v>
      </c>
      <c r="AO85">
        <f t="shared" si="6"/>
        <v>901.14354235780104</v>
      </c>
      <c r="AP85">
        <f t="shared" si="7"/>
        <v>99.77645764219892</v>
      </c>
      <c r="AZ85" s="10">
        <v>31</v>
      </c>
      <c r="BA85" s="10">
        <v>0.69055584640445811</v>
      </c>
      <c r="BB85" s="10">
        <v>-1.9539589883982522E-2</v>
      </c>
      <c r="BE85" s="10">
        <v>31</v>
      </c>
      <c r="BF85" s="10">
        <v>0.66496622330918975</v>
      </c>
      <c r="BG85" s="10">
        <v>6.0500332112858324E-3</v>
      </c>
    </row>
    <row r="86" spans="17:59">
      <c r="Q86" s="10">
        <v>31</v>
      </c>
      <c r="R86" s="10">
        <v>0.67260628187948213</v>
      </c>
      <c r="S86" s="10">
        <v>4.1085863190426841E-2</v>
      </c>
      <c r="AC86" s="10">
        <v>31</v>
      </c>
      <c r="AD86" s="10">
        <v>0.72991758247612426</v>
      </c>
      <c r="AE86" s="10">
        <v>-2.9458074677484958E-2</v>
      </c>
      <c r="AL86" s="10">
        <v>31</v>
      </c>
      <c r="AM86" s="10">
        <v>47.362768355059998</v>
      </c>
      <c r="AN86" s="10">
        <v>-2.8988863440792727</v>
      </c>
      <c r="AO86">
        <f t="shared" si="6"/>
        <v>879.90551050030467</v>
      </c>
      <c r="AP86">
        <f t="shared" si="7"/>
        <v>-53.855510500304725</v>
      </c>
      <c r="AZ86" s="10">
        <v>32</v>
      </c>
      <c r="BA86" s="10">
        <v>0.67598314705773432</v>
      </c>
      <c r="BB86" s="10">
        <v>0.14280231056685344</v>
      </c>
      <c r="BE86" s="10">
        <v>32</v>
      </c>
      <c r="BF86" s="10">
        <v>0.62349207134432172</v>
      </c>
      <c r="BG86" s="10">
        <v>0.19529338628026605</v>
      </c>
    </row>
    <row r="87" spans="17:59">
      <c r="Q87" s="10">
        <v>32</v>
      </c>
      <c r="R87" s="10">
        <v>0.66893111285426177</v>
      </c>
      <c r="S87" s="10">
        <v>1.0014836367712054E-2</v>
      </c>
      <c r="AC87" s="10">
        <v>32</v>
      </c>
      <c r="AD87" s="10">
        <v>0.73156628908806876</v>
      </c>
      <c r="AE87" s="10">
        <v>2.6219688097764982E-3</v>
      </c>
      <c r="AL87" s="10">
        <v>32</v>
      </c>
      <c r="AM87" s="10">
        <v>47.584337038113297</v>
      </c>
      <c r="AN87" s="10">
        <v>-0.34566764420652163</v>
      </c>
      <c r="AO87">
        <f t="shared" si="6"/>
        <v>884.02181349406885</v>
      </c>
      <c r="AP87">
        <f t="shared" si="7"/>
        <v>-6.4218134940687586</v>
      </c>
      <c r="AZ87" s="10">
        <v>33</v>
      </c>
      <c r="BA87" s="10">
        <v>0.65431706940782364</v>
      </c>
      <c r="BB87" s="10">
        <v>3.5356354608563345E-2</v>
      </c>
      <c r="BE87" s="10">
        <v>33</v>
      </c>
      <c r="BF87" s="10">
        <v>0.68320919504383981</v>
      </c>
      <c r="BG87" s="10">
        <v>6.4642289725471702E-3</v>
      </c>
    </row>
    <row r="88" spans="17:59">
      <c r="Q88" s="10">
        <v>33</v>
      </c>
      <c r="R88" s="10">
        <v>0.66576798955306871</v>
      </c>
      <c r="S88" s="10">
        <v>9.846460193658424E-3</v>
      </c>
      <c r="AC88" s="10">
        <v>33</v>
      </c>
      <c r="AD88" s="10">
        <v>0.7337054951742451</v>
      </c>
      <c r="AE88" s="10">
        <v>3.5496270822416021E-3</v>
      </c>
      <c r="AL88" s="10">
        <v>33</v>
      </c>
      <c r="AM88" s="10">
        <v>47.80830403547909</v>
      </c>
      <c r="AN88" s="10">
        <v>-0.31018798423568228</v>
      </c>
      <c r="AO88">
        <f t="shared" si="6"/>
        <v>888.18267237113048</v>
      </c>
      <c r="AP88">
        <f t="shared" si="7"/>
        <v>-5.7626723711305052</v>
      </c>
      <c r="AZ88" s="10">
        <v>34</v>
      </c>
      <c r="BA88" s="10">
        <v>0.66858416851290881</v>
      </c>
      <c r="BB88" s="10">
        <v>1.2325105697329586E-2</v>
      </c>
      <c r="BE88" s="10">
        <v>34</v>
      </c>
      <c r="BF88" s="10">
        <v>0.69858265771414374</v>
      </c>
      <c r="BG88" s="10">
        <v>-1.7673383503905349E-2</v>
      </c>
    </row>
    <row r="89" spans="17:59">
      <c r="Q89" s="10">
        <v>34</v>
      </c>
      <c r="R89" s="10">
        <v>0.66409542317275949</v>
      </c>
      <c r="S89" s="10">
        <v>6.4853653565591807E-2</v>
      </c>
      <c r="AC89" s="10">
        <v>34</v>
      </c>
      <c r="AD89" s="10">
        <v>0.7360438875450791</v>
      </c>
      <c r="AE89" s="10">
        <v>-5.1475962849285795E-2</v>
      </c>
      <c r="AL89" s="10">
        <v>34</v>
      </c>
      <c r="AM89" s="10">
        <v>47.973347771797698</v>
      </c>
      <c r="AN89" s="10">
        <v>-4.7717114277348287</v>
      </c>
      <c r="AO89">
        <f t="shared" si="6"/>
        <v>891.24885490445763</v>
      </c>
      <c r="AP89">
        <f t="shared" si="7"/>
        <v>-88.64885490445765</v>
      </c>
      <c r="AZ89" s="10">
        <v>35</v>
      </c>
      <c r="BA89" s="10">
        <v>0.69948282615747537</v>
      </c>
      <c r="BB89" s="10">
        <v>7.5508783950464231E-3</v>
      </c>
      <c r="BE89" s="10">
        <v>35</v>
      </c>
      <c r="BF89" s="10">
        <v>0.69250166713592709</v>
      </c>
      <c r="BG89" s="10">
        <v>1.4532037416594701E-2</v>
      </c>
    </row>
    <row r="90" spans="17:59">
      <c r="Q90" s="10">
        <v>35</v>
      </c>
      <c r="R90" s="10">
        <v>0.65053827640103601</v>
      </c>
      <c r="S90" s="10">
        <v>-4.5311967553502752E-2</v>
      </c>
      <c r="AC90" s="10">
        <v>35</v>
      </c>
      <c r="AD90" s="10">
        <v>0.74386143986814501</v>
      </c>
      <c r="AE90" s="10">
        <v>5.2192022581953434E-2</v>
      </c>
      <c r="AL90" s="10">
        <v>35</v>
      </c>
      <c r="AM90" s="10">
        <v>48.852560323443164</v>
      </c>
      <c r="AN90" s="10">
        <v>3.902311029770317</v>
      </c>
      <c r="AO90">
        <f t="shared" si="6"/>
        <v>907.58286568892709</v>
      </c>
      <c r="AP90">
        <f t="shared" si="7"/>
        <v>72.497134311072941</v>
      </c>
      <c r="AZ90" s="10">
        <v>36</v>
      </c>
      <c r="BA90" s="10">
        <v>0.65523387013273859</v>
      </c>
      <c r="BB90" s="10">
        <v>-3.1332834801486742E-2</v>
      </c>
      <c r="BE90" s="10">
        <v>36</v>
      </c>
      <c r="BF90" s="10">
        <v>0.68252525014479126</v>
      </c>
      <c r="BG90" s="10">
        <v>-5.862421481353941E-2</v>
      </c>
    </row>
    <row r="91" spans="17:59">
      <c r="Q91" s="10">
        <v>36</v>
      </c>
      <c r="R91" s="10">
        <v>0.66732111805227468</v>
      </c>
      <c r="S91" s="10">
        <v>-3.5493937879536031E-2</v>
      </c>
      <c r="AC91" s="10">
        <v>36</v>
      </c>
      <c r="AD91" s="10">
        <v>0.73112537587658655</v>
      </c>
      <c r="AE91" s="10">
        <v>4.3983916026797631E-2</v>
      </c>
      <c r="AL91" s="10">
        <v>36</v>
      </c>
      <c r="AM91" s="10">
        <v>47.655119108353205</v>
      </c>
      <c r="AN91" s="10">
        <v>3.159823296641953</v>
      </c>
      <c r="AO91">
        <f t="shared" si="6"/>
        <v>885.33680279498583</v>
      </c>
      <c r="AP91">
        <f t="shared" si="7"/>
        <v>58.703197205014199</v>
      </c>
      <c r="AZ91" s="10">
        <v>37</v>
      </c>
      <c r="BA91" s="10">
        <v>0.69147264712937306</v>
      </c>
      <c r="BB91" s="10">
        <v>-6.1912813902559649E-2</v>
      </c>
      <c r="BE91" s="10">
        <v>37</v>
      </c>
      <c r="BF91" s="10">
        <v>0.69215969468640282</v>
      </c>
      <c r="BG91" s="10">
        <v>-6.2599861459589401E-2</v>
      </c>
    </row>
    <row r="92" spans="17:59">
      <c r="Q92" s="10">
        <v>37</v>
      </c>
      <c r="R92" s="10">
        <v>0.65456047301798248</v>
      </c>
      <c r="S92" s="10">
        <v>9.8666734914714893E-2</v>
      </c>
      <c r="AC92" s="10">
        <v>37</v>
      </c>
      <c r="AD92" s="10">
        <v>0.74118919366557035</v>
      </c>
      <c r="AE92" s="10">
        <v>-8.342877130047166E-2</v>
      </c>
      <c r="AL92" s="10">
        <v>37</v>
      </c>
      <c r="AM92" s="10">
        <v>48.579130559910404</v>
      </c>
      <c r="AN92" s="10">
        <v>-7.449837848100735</v>
      </c>
      <c r="AO92">
        <f t="shared" si="6"/>
        <v>902.50308754201546</v>
      </c>
      <c r="AP92">
        <f t="shared" si="7"/>
        <v>-138.40308754201544</v>
      </c>
      <c r="AZ92" s="10">
        <v>38</v>
      </c>
      <c r="BA92" s="10">
        <v>0.61357463128532486</v>
      </c>
      <c r="BB92" s="10">
        <v>-0.11315975450583737</v>
      </c>
      <c r="BE92" s="10">
        <v>38</v>
      </c>
      <c r="BF92" s="10">
        <v>0.66708492274041142</v>
      </c>
      <c r="BG92" s="10">
        <v>-0.16667004596092394</v>
      </c>
    </row>
    <row r="93" spans="17:59">
      <c r="Q93" s="10">
        <v>38</v>
      </c>
      <c r="R93" s="10">
        <v>0.64737515309984295</v>
      </c>
      <c r="S93" s="10">
        <v>-0.11895133432253635</v>
      </c>
      <c r="AC93" s="10">
        <v>38</v>
      </c>
      <c r="AD93" s="10">
        <v>0.74600064595432125</v>
      </c>
      <c r="AE93" s="10">
        <v>0.10298007688266297</v>
      </c>
      <c r="AL93" s="10">
        <v>38</v>
      </c>
      <c r="AM93" s="10">
        <v>49.076527320808957</v>
      </c>
      <c r="AN93" s="10">
        <v>9.0244523325444774</v>
      </c>
      <c r="AO93">
        <f t="shared" si="6"/>
        <v>911.74372456598871</v>
      </c>
      <c r="AP93">
        <f t="shared" si="7"/>
        <v>167.65627543401129</v>
      </c>
      <c r="AZ93" s="10">
        <v>39</v>
      </c>
      <c r="BA93" s="10">
        <v>0.70573974623445845</v>
      </c>
      <c r="BB93" s="10">
        <v>-1.4876760495388774E-2</v>
      </c>
      <c r="BE93" s="10">
        <v>39</v>
      </c>
      <c r="BF93" s="10">
        <v>0.70753315735670674</v>
      </c>
      <c r="BG93" s="10">
        <v>-1.6670171617637064E-2</v>
      </c>
    </row>
    <row r="94" spans="17:59">
      <c r="Q94" s="10">
        <v>39</v>
      </c>
      <c r="R94" s="10">
        <v>0.65323493422939949</v>
      </c>
      <c r="S94" s="10">
        <v>-0.26342412428417722</v>
      </c>
      <c r="AC94" s="10">
        <v>39</v>
      </c>
      <c r="AD94" s="10">
        <v>0.74250404644577439</v>
      </c>
      <c r="AE94" s="10">
        <v>0.17839091632134263</v>
      </c>
      <c r="AL94" s="10">
        <v>39</v>
      </c>
      <c r="AM94" s="10">
        <v>48.69231321574955</v>
      </c>
      <c r="AN94" s="10">
        <v>18.364958826450902</v>
      </c>
      <c r="AO94">
        <f t="shared" si="6"/>
        <v>904.60579492219506</v>
      </c>
      <c r="AP94">
        <f t="shared" si="7"/>
        <v>341.18420507780485</v>
      </c>
      <c r="AZ94" s="10">
        <v>40</v>
      </c>
      <c r="BA94" s="10">
        <v>0.71046866510324991</v>
      </c>
      <c r="BB94" s="10">
        <v>-9.2842858893991687E-2</v>
      </c>
      <c r="BE94" s="10">
        <v>40</v>
      </c>
      <c r="BF94" s="10">
        <v>0.66640097784136287</v>
      </c>
      <c r="BG94" s="10">
        <v>-4.8775171632104652E-2</v>
      </c>
    </row>
    <row r="95" spans="17:59">
      <c r="Q95" s="10">
        <v>40</v>
      </c>
      <c r="R95" s="10">
        <v>0.64858125400732258</v>
      </c>
      <c r="S95" s="10">
        <v>0.10241706717323773</v>
      </c>
      <c r="AC95" s="10">
        <v>40</v>
      </c>
      <c r="AD95" s="10">
        <v>0.74444406624729287</v>
      </c>
      <c r="AE95" s="10">
        <v>-8.4139953293284497E-2</v>
      </c>
      <c r="AL95" s="10">
        <v>40</v>
      </c>
      <c r="AM95" s="10">
        <v>48.975203474162534</v>
      </c>
      <c r="AN95" s="10">
        <v>-7.6521331759603584</v>
      </c>
      <c r="AO95">
        <f t="shared" si="6"/>
        <v>909.86133014299151</v>
      </c>
      <c r="AP95">
        <f t="shared" si="7"/>
        <v>-142.16133014299155</v>
      </c>
      <c r="AZ95" s="10">
        <v>41</v>
      </c>
      <c r="BA95" s="10">
        <v>0.63646310990178911</v>
      </c>
      <c r="BB95" s="10">
        <v>-4.6359297290504697E-3</v>
      </c>
      <c r="BE95" s="10">
        <v>41</v>
      </c>
      <c r="BF95" s="10">
        <v>0.68389313994288847</v>
      </c>
      <c r="BG95" s="10">
        <v>-5.2065959770149828E-2</v>
      </c>
    </row>
    <row r="96" spans="17:59">
      <c r="Q96" s="10">
        <v>41</v>
      </c>
      <c r="R96" s="10">
        <v>0.64621463244356092</v>
      </c>
      <c r="S96" s="10">
        <v>-2.3984774432677103E-3</v>
      </c>
      <c r="AC96" s="10">
        <v>41</v>
      </c>
      <c r="AD96" s="10">
        <v>0.74882953779938721</v>
      </c>
      <c r="AE96" s="10">
        <v>1.6350675327323483E-2</v>
      </c>
      <c r="AL96" s="10">
        <v>41</v>
      </c>
      <c r="AM96" s="10">
        <v>49.243969371440052</v>
      </c>
      <c r="AN96" s="10">
        <v>0.67905786507625976</v>
      </c>
      <c r="AO96">
        <f t="shared" si="6"/>
        <v>914.8544629826132</v>
      </c>
      <c r="AP96">
        <f t="shared" si="7"/>
        <v>12.615537017386753</v>
      </c>
      <c r="AZ96" s="10">
        <v>42</v>
      </c>
      <c r="BA96" s="10">
        <v>0.67422988810661533</v>
      </c>
      <c r="BB96" s="10">
        <v>-3.789870821481045E-2</v>
      </c>
      <c r="BE96" s="10">
        <v>42</v>
      </c>
      <c r="BF96" s="10">
        <v>0.6660590053918386</v>
      </c>
      <c r="BG96" s="10">
        <v>-2.9727825500033722E-2</v>
      </c>
    </row>
    <row r="97" spans="17:59">
      <c r="Q97" s="10">
        <v>42</v>
      </c>
      <c r="R97" s="10">
        <v>0.65679066537351671</v>
      </c>
      <c r="S97" s="10">
        <v>2.6900196668772414E-2</v>
      </c>
      <c r="AC97" s="10">
        <v>42</v>
      </c>
      <c r="AD97" s="10">
        <v>0.74061361290700567</v>
      </c>
      <c r="AE97" s="10">
        <v>-1.0841864234948928E-2</v>
      </c>
      <c r="AL97" s="10">
        <v>42</v>
      </c>
      <c r="AM97" s="10">
        <v>48.482603341888961</v>
      </c>
      <c r="AN97" s="10">
        <v>-1.6153409885678229</v>
      </c>
      <c r="AO97">
        <f t="shared" si="6"/>
        <v>900.70980488561304</v>
      </c>
      <c r="AP97">
        <f t="shared" si="7"/>
        <v>-30.009804885613015</v>
      </c>
      <c r="AZ97" s="10">
        <v>43</v>
      </c>
      <c r="BA97" s="10">
        <v>0.65134140949015118</v>
      </c>
      <c r="BB97" s="10">
        <v>-0.26153059954492891</v>
      </c>
      <c r="BE97" s="10">
        <v>43</v>
      </c>
      <c r="BF97" s="10">
        <v>0.66318949632749236</v>
      </c>
      <c r="BG97" s="10">
        <v>-0.27337868638227009</v>
      </c>
    </row>
    <row r="98" spans="17:59">
      <c r="Q98" s="10">
        <v>43</v>
      </c>
      <c r="R98" s="10">
        <v>0.64932088944197275</v>
      </c>
      <c r="S98" s="10">
        <v>3.5274427517729912E-2</v>
      </c>
      <c r="AC98" s="10">
        <v>43</v>
      </c>
      <c r="AD98" s="10">
        <v>0.74366929920407021</v>
      </c>
      <c r="AE98" s="10">
        <v>-1.4745947954541205E-2</v>
      </c>
      <c r="AL98" s="10">
        <v>43</v>
      </c>
      <c r="AM98" s="10">
        <v>48.937599517188282</v>
      </c>
      <c r="AN98" s="10">
        <v>-2.1413889455443993</v>
      </c>
      <c r="AO98">
        <f t="shared" si="6"/>
        <v>909.1627238303239</v>
      </c>
      <c r="AP98">
        <f t="shared" si="7"/>
        <v>-39.782723830323846</v>
      </c>
      <c r="AZ98" s="10">
        <v>44</v>
      </c>
      <c r="BA98" s="10">
        <v>0.64569568989644466</v>
      </c>
      <c r="BB98" s="10">
        <v>0.10753151803625272</v>
      </c>
      <c r="BE98" s="10">
        <v>44</v>
      </c>
      <c r="BF98" s="10">
        <v>0.67248196841957952</v>
      </c>
      <c r="BG98" s="10">
        <v>8.074523951311785E-2</v>
      </c>
    </row>
    <row r="99" spans="17:59">
      <c r="Q99" s="10">
        <v>44</v>
      </c>
      <c r="R99" s="10">
        <v>0.63558173321082401</v>
      </c>
      <c r="S99" s="10">
        <v>-1.4408331804453889E-2</v>
      </c>
      <c r="AC99" s="10">
        <v>44</v>
      </c>
      <c r="AD99" s="10">
        <v>0.75402443018262799</v>
      </c>
      <c r="AE99" s="10">
        <v>2.964871940541336E-2</v>
      </c>
      <c r="AL99" s="10">
        <v>44</v>
      </c>
      <c r="AM99" s="10">
        <v>49.922932544105151</v>
      </c>
      <c r="AN99" s="10">
        <v>1.6751942725597218</v>
      </c>
      <c r="AO99">
        <f t="shared" si="6"/>
        <v>927.46824080438546</v>
      </c>
      <c r="AP99">
        <f t="shared" si="7"/>
        <v>31.121759195614509</v>
      </c>
      <c r="AZ99" s="10">
        <v>45</v>
      </c>
      <c r="BA99" s="10">
        <v>0.66232724843592572</v>
      </c>
      <c r="BB99" s="10">
        <v>2.1363613606363407E-2</v>
      </c>
      <c r="BE99" s="10">
        <v>45</v>
      </c>
      <c r="BF99" s="10">
        <v>0.64638127912501531</v>
      </c>
      <c r="BG99" s="10">
        <v>3.730958291727382E-2</v>
      </c>
    </row>
    <row r="100" spans="17:59">
      <c r="Q100" s="10">
        <v>45</v>
      </c>
      <c r="R100" s="10">
        <v>0.66120546983338713</v>
      </c>
      <c r="S100" s="10">
        <v>0.15757998779120064</v>
      </c>
      <c r="AC100" s="10">
        <v>45</v>
      </c>
      <c r="AD100" s="10">
        <v>0.73819013925183852</v>
      </c>
      <c r="AE100" s="10">
        <v>-0.16409051864362523</v>
      </c>
      <c r="AL100" s="10">
        <v>45</v>
      </c>
      <c r="AM100" s="10">
        <v>48.223430701861403</v>
      </c>
      <c r="AN100" s="10">
        <v>-13.186828268876155</v>
      </c>
      <c r="AO100">
        <f t="shared" si="6"/>
        <v>895.89489557918114</v>
      </c>
      <c r="AP100">
        <f t="shared" si="7"/>
        <v>-244.9848955791812</v>
      </c>
      <c r="AZ100" s="10">
        <v>46</v>
      </c>
      <c r="BA100" s="10">
        <v>0.61029337112601412</v>
      </c>
      <c r="BB100" s="10">
        <v>0.17858071990937008</v>
      </c>
      <c r="BE100" s="10">
        <v>46</v>
      </c>
      <c r="BF100" s="10">
        <v>0.63490324286763045</v>
      </c>
      <c r="BG100" s="10">
        <v>0.15397084816775375</v>
      </c>
    </row>
    <row r="101" spans="17:59">
      <c r="Q101" s="10">
        <v>46</v>
      </c>
      <c r="R101" s="10">
        <v>0.64856996795573918</v>
      </c>
      <c r="S101" s="10">
        <v>7.8201677123255875E-2</v>
      </c>
      <c r="AC101" s="10">
        <v>46</v>
      </c>
      <c r="AD101" s="10">
        <v>0.74269534587618979</v>
      </c>
      <c r="AE101" s="10">
        <v>-5.5816189175994624E-2</v>
      </c>
      <c r="AL101" s="10">
        <v>46</v>
      </c>
      <c r="AM101" s="10">
        <v>48.958918821261214</v>
      </c>
      <c r="AN101" s="10">
        <v>-5.5753468544187115</v>
      </c>
      <c r="AO101">
        <f t="shared" si="6"/>
        <v>909.55879386139077</v>
      </c>
      <c r="AP101">
        <f t="shared" si="7"/>
        <v>-103.57879386139082</v>
      </c>
      <c r="AZ101" s="10">
        <v>47</v>
      </c>
      <c r="BA101" s="10">
        <v>0.62158481031342716</v>
      </c>
      <c r="BB101" s="10">
        <v>4.0509475024362862E-2</v>
      </c>
      <c r="BE101" s="10">
        <v>47</v>
      </c>
      <c r="BF101" s="10">
        <v>0.59308711845323803</v>
      </c>
      <c r="BG101" s="10">
        <v>6.9007166884551996E-2</v>
      </c>
    </row>
    <row r="102" spans="17:59">
      <c r="Q102" s="10">
        <v>47</v>
      </c>
      <c r="R102" s="10">
        <v>0.64087260231357224</v>
      </c>
      <c r="S102" s="10">
        <v>-0.14045772553408475</v>
      </c>
      <c r="AC102" s="10">
        <v>47</v>
      </c>
      <c r="AD102" s="10">
        <v>0.74701629869070896</v>
      </c>
      <c r="AE102" s="10">
        <v>0.11876944333659556</v>
      </c>
      <c r="AL102" s="10">
        <v>47</v>
      </c>
      <c r="AM102" s="10">
        <v>49.453917267847274</v>
      </c>
      <c r="AN102" s="10">
        <v>10.518630907413794</v>
      </c>
      <c r="AO102">
        <f t="shared" si="6"/>
        <v>918.75487500206657</v>
      </c>
      <c r="AP102">
        <f t="shared" si="7"/>
        <v>195.41512499793345</v>
      </c>
      <c r="AZ102" s="10">
        <v>48</v>
      </c>
      <c r="BA102" s="10">
        <v>0.64806014933084044</v>
      </c>
      <c r="BB102" s="10">
        <v>0.10322345326921423</v>
      </c>
      <c r="BE102" s="10">
        <v>48</v>
      </c>
      <c r="BF102" s="10">
        <v>0.63565405250075513</v>
      </c>
      <c r="BG102" s="10">
        <v>0.11562955009929954</v>
      </c>
    </row>
    <row r="103" spans="17:59">
      <c r="Q103" s="10">
        <v>48</v>
      </c>
      <c r="R103" s="10">
        <v>0.63948449194666723</v>
      </c>
      <c r="S103" s="10">
        <v>0.11179911065338743</v>
      </c>
      <c r="AC103" s="10">
        <v>48</v>
      </c>
      <c r="AD103" s="10">
        <v>0.75111045705322921</v>
      </c>
      <c r="AE103" s="10">
        <v>-9.1130950959075419E-2</v>
      </c>
      <c r="AL103" s="10">
        <v>48</v>
      </c>
      <c r="AM103" s="10">
        <v>49.661361589765107</v>
      </c>
      <c r="AN103" s="10">
        <v>-8.3630517609353063</v>
      </c>
      <c r="AO103">
        <f t="shared" si="6"/>
        <v>922.60877561465611</v>
      </c>
      <c r="AP103">
        <f t="shared" si="7"/>
        <v>-155.36877561465613</v>
      </c>
      <c r="AZ103" s="10">
        <v>49</v>
      </c>
      <c r="BA103" s="10">
        <v>0.64149762901221885</v>
      </c>
      <c r="BB103" s="10">
        <v>2.9880756484464754E-2</v>
      </c>
      <c r="BE103" s="10">
        <v>49</v>
      </c>
      <c r="BF103" s="10">
        <v>0.6270455253077164</v>
      </c>
      <c r="BG103" s="10">
        <v>4.4332860188967205E-2</v>
      </c>
    </row>
    <row r="104" spans="17:59">
      <c r="Q104" s="10">
        <v>49</v>
      </c>
      <c r="R104" s="10">
        <v>0.63568988504034385</v>
      </c>
      <c r="S104" s="10">
        <v>-2.9125762134456723E-2</v>
      </c>
      <c r="AC104" s="10">
        <v>49</v>
      </c>
      <c r="AD104" s="10">
        <v>0.75251743673834925</v>
      </c>
      <c r="AE104" s="10">
        <v>4.2517131568848288E-2</v>
      </c>
      <c r="AL104" s="10">
        <v>49</v>
      </c>
      <c r="AM104" s="10">
        <v>49.894789082011123</v>
      </c>
      <c r="AN104" s="10">
        <v>2.7637317490794118</v>
      </c>
      <c r="AO104">
        <f t="shared" si="6"/>
        <v>926.94539156560256</v>
      </c>
      <c r="AP104">
        <f t="shared" si="7"/>
        <v>51.344608434397308</v>
      </c>
      <c r="AZ104" s="10">
        <v>50</v>
      </c>
      <c r="BA104" s="10">
        <v>0.61059897136765251</v>
      </c>
      <c r="BB104" s="10">
        <v>0.20638646773887637</v>
      </c>
      <c r="BE104" s="10">
        <v>50</v>
      </c>
      <c r="BF104" s="10">
        <v>0.61918780774780235</v>
      </c>
      <c r="BG104" s="10">
        <v>0.19779763135872652</v>
      </c>
    </row>
    <row r="105" spans="17:59">
      <c r="Q105" s="10">
        <v>50</v>
      </c>
      <c r="R105" s="10">
        <v>0.64361484039313355</v>
      </c>
      <c r="S105" s="10">
        <v>2.7763545103550058E-2</v>
      </c>
      <c r="AC105" s="10">
        <v>50</v>
      </c>
      <c r="AD105" s="10">
        <v>0.7469312174063758</v>
      </c>
      <c r="AE105" s="10">
        <v>-5.8164735995436256E-3</v>
      </c>
      <c r="AL105" s="10">
        <v>50</v>
      </c>
      <c r="AM105" s="10">
        <v>49.359788364138318</v>
      </c>
      <c r="AN105" s="10">
        <v>-1.5333269581742712</v>
      </c>
      <c r="AO105">
        <f t="shared" si="6"/>
        <v>917.00614822896159</v>
      </c>
      <c r="AP105">
        <f t="shared" si="7"/>
        <v>-28.486148228961611</v>
      </c>
      <c r="AZ105" s="10">
        <v>51</v>
      </c>
      <c r="BA105" s="10">
        <v>0.62486607047273779</v>
      </c>
      <c r="BB105" s="10">
        <v>-4.7312977190623329E-3</v>
      </c>
      <c r="BE105" s="10">
        <v>51</v>
      </c>
      <c r="BF105" s="10">
        <v>0.6113300901878882</v>
      </c>
      <c r="BG105" s="10">
        <v>8.8046825657872585E-3</v>
      </c>
    </row>
    <row r="106" spans="17:59">
      <c r="Q106" s="10">
        <v>51</v>
      </c>
      <c r="R106" s="10">
        <v>0.64384243010375664</v>
      </c>
      <c r="S106" s="10">
        <v>9.9683219613636131E-2</v>
      </c>
      <c r="AC106" s="10">
        <v>51</v>
      </c>
      <c r="AD106" s="10">
        <v>0.74566595088892151</v>
      </c>
      <c r="AE106" s="10">
        <v>-7.6958534889720154E-2</v>
      </c>
      <c r="AL106" s="10">
        <v>51</v>
      </c>
      <c r="AM106" s="10">
        <v>49.319786092851572</v>
      </c>
      <c r="AN106" s="10">
        <v>-7.3524053198943093</v>
      </c>
      <c r="AO106">
        <f t="shared" si="6"/>
        <v>916.26298603299654</v>
      </c>
      <c r="AP106">
        <f t="shared" si="7"/>
        <v>-136.59298603299646</v>
      </c>
      <c r="AZ106" s="10">
        <v>52</v>
      </c>
      <c r="BA106" s="10">
        <v>0.58442923259187751</v>
      </c>
      <c r="BB106" s="10">
        <v>-0.47390254497183665</v>
      </c>
      <c r="BE106" s="10">
        <v>52</v>
      </c>
      <c r="BF106" s="10">
        <v>0.58413661881067525</v>
      </c>
      <c r="BG106" s="10">
        <v>-0.47360993119063438</v>
      </c>
    </row>
    <row r="107" spans="17:59">
      <c r="Q107" s="10">
        <v>52</v>
      </c>
      <c r="R107" s="10">
        <v>0.62775364363597053</v>
      </c>
      <c r="S107" s="10">
        <v>2.0672983344782847E-2</v>
      </c>
      <c r="AC107" s="10">
        <v>52</v>
      </c>
      <c r="AD107" s="10">
        <v>0.75635493569921974</v>
      </c>
      <c r="AE107" s="10">
        <v>4.9222210724536586E-3</v>
      </c>
      <c r="AL107" s="10">
        <v>52</v>
      </c>
      <c r="AM107" s="10">
        <v>50.413505146982608</v>
      </c>
      <c r="AN107" s="10">
        <v>-0.83658621060624938</v>
      </c>
      <c r="AO107">
        <f t="shared" si="6"/>
        <v>936.58209862064291</v>
      </c>
      <c r="AP107">
        <f t="shared" si="7"/>
        <v>-15.5420986206429</v>
      </c>
      <c r="AZ107" s="10">
        <v>53</v>
      </c>
      <c r="BA107" s="10">
        <v>0.6325706492592017</v>
      </c>
      <c r="BB107" s="10">
        <v>0.11095500045819107</v>
      </c>
      <c r="BE107" s="10">
        <v>53</v>
      </c>
      <c r="BF107" s="10">
        <v>0.62738749775724079</v>
      </c>
      <c r="BG107" s="10">
        <v>0.11613815196015198</v>
      </c>
    </row>
    <row r="108" spans="17:59">
      <c r="Q108" s="10">
        <v>53</v>
      </c>
      <c r="R108" s="10">
        <v>0.61131782957645797</v>
      </c>
      <c r="S108" s="10">
        <v>9.2299472528993176E-2</v>
      </c>
      <c r="AC108" s="10">
        <v>53</v>
      </c>
      <c r="AD108" s="10">
        <v>0.76806746010014815</v>
      </c>
      <c r="AE108" s="10">
        <v>-5.7488335598276596E-2</v>
      </c>
      <c r="AL108" s="10">
        <v>53</v>
      </c>
      <c r="AM108" s="10">
        <v>51.559085281593113</v>
      </c>
      <c r="AN108" s="10">
        <v>-6.2770312391773544</v>
      </c>
      <c r="AO108">
        <f t="shared" si="6"/>
        <v>957.86468636143684</v>
      </c>
      <c r="AP108">
        <f t="shared" si="7"/>
        <v>-116.61468636143688</v>
      </c>
      <c r="AZ108" s="10">
        <v>54</v>
      </c>
      <c r="BA108" s="10">
        <v>0.62189041055506544</v>
      </c>
      <c r="BB108" s="10">
        <v>2.6536216425687931E-2</v>
      </c>
      <c r="BE108" s="10">
        <v>54</v>
      </c>
      <c r="BF108" s="10">
        <v>0.63312651588593316</v>
      </c>
      <c r="BG108" s="10">
        <v>1.5300111094820212E-2</v>
      </c>
    </row>
    <row r="109" spans="17:59">
      <c r="Q109" s="10">
        <v>54</v>
      </c>
      <c r="R109" s="10">
        <v>0.62395903672964692</v>
      </c>
      <c r="S109" s="10">
        <v>0.16491505430573727</v>
      </c>
      <c r="AC109" s="10">
        <v>54</v>
      </c>
      <c r="AD109" s="10">
        <v>0.7577619153843399</v>
      </c>
      <c r="AE109" s="10">
        <v>-0.14320706145094508</v>
      </c>
      <c r="AL109" s="10">
        <v>54</v>
      </c>
      <c r="AM109" s="10">
        <v>50.646932639228638</v>
      </c>
      <c r="AN109" s="10">
        <v>-12.727350337581527</v>
      </c>
      <c r="AO109">
        <f t="shared" si="6"/>
        <v>940.91871457158959</v>
      </c>
      <c r="AP109">
        <f t="shared" si="7"/>
        <v>-236.44871457158959</v>
      </c>
      <c r="AZ109" s="10">
        <v>55</v>
      </c>
      <c r="BA109" s="10">
        <v>0.62250161103834212</v>
      </c>
      <c r="BB109" s="10">
        <v>9.1414235933674703E-2</v>
      </c>
      <c r="BE109" s="10">
        <v>55</v>
      </c>
      <c r="BF109" s="10">
        <v>0.61098811773836403</v>
      </c>
      <c r="BG109" s="10">
        <v>0.10292772923365279</v>
      </c>
    </row>
    <row r="110" spans="17:59">
      <c r="Q110" s="10">
        <v>55</v>
      </c>
      <c r="R110" s="10">
        <v>0.61291653832686177</v>
      </c>
      <c r="S110" s="10">
        <v>7.2182344268136855E-3</v>
      </c>
      <c r="AC110" s="10">
        <v>55</v>
      </c>
      <c r="AD110" s="10">
        <v>0.76675965294052717</v>
      </c>
      <c r="AE110" s="10">
        <v>1.7735639347289833E-2</v>
      </c>
      <c r="AL110" s="10">
        <v>55</v>
      </c>
      <c r="AM110" s="10">
        <v>51.472018558451893</v>
      </c>
      <c r="AN110" s="10">
        <v>0.20200447955004819</v>
      </c>
      <c r="AO110">
        <f t="shared" si="6"/>
        <v>956.24716077891924</v>
      </c>
      <c r="AP110">
        <f t="shared" si="7"/>
        <v>3.7528392210807953</v>
      </c>
      <c r="AZ110" s="10">
        <v>56</v>
      </c>
      <c r="BA110" s="10">
        <v>0.60525885201558438</v>
      </c>
      <c r="BB110" s="10">
        <v>-1.5998582443034537E-2</v>
      </c>
      <c r="BE110" s="10">
        <v>56</v>
      </c>
      <c r="BF110" s="10">
        <v>0.61741108076610496</v>
      </c>
      <c r="BG110" s="10">
        <v>-2.8150811193555114E-2</v>
      </c>
    </row>
    <row r="111" spans="17:59">
      <c r="Q111" s="10">
        <v>56</v>
      </c>
      <c r="R111" s="10">
        <v>0.6026875329886322</v>
      </c>
      <c r="S111" s="10">
        <v>0.11122831398338462</v>
      </c>
      <c r="AC111" s="10">
        <v>56</v>
      </c>
      <c r="AD111" s="10">
        <v>0.77395203824227854</v>
      </c>
      <c r="AE111" s="10">
        <v>-7.3720531208906204E-2</v>
      </c>
      <c r="AL111" s="10">
        <v>56</v>
      </c>
      <c r="AM111" s="10">
        <v>52.181523507523522</v>
      </c>
      <c r="AN111" s="10">
        <v>-7.7359427130354135</v>
      </c>
      <c r="AO111">
        <f t="shared" si="6"/>
        <v>969.42834372277196</v>
      </c>
      <c r="AP111">
        <f t="shared" si="7"/>
        <v>-143.71834372277192</v>
      </c>
      <c r="AZ111" s="10">
        <v>57</v>
      </c>
      <c r="BA111" s="10">
        <v>0.60762331144998005</v>
      </c>
      <c r="BB111" s="10">
        <v>-0.10878720521200269</v>
      </c>
      <c r="BE111" s="10">
        <v>57</v>
      </c>
      <c r="BF111" s="10">
        <v>0.61310681716958559</v>
      </c>
      <c r="BG111" s="10">
        <v>-0.11427071093160823</v>
      </c>
    </row>
    <row r="112" spans="17:59">
      <c r="Q112" s="10">
        <v>57</v>
      </c>
      <c r="R112" s="10">
        <v>0.60854731411818896</v>
      </c>
      <c r="S112" s="10">
        <v>6.174420411996584E-2</v>
      </c>
      <c r="AC112" s="10">
        <v>57</v>
      </c>
      <c r="AD112" s="10">
        <v>0.77045543873373179</v>
      </c>
      <c r="AE112" s="10">
        <v>-2.8357547227503721E-2</v>
      </c>
      <c r="AL112" s="10">
        <v>57</v>
      </c>
      <c r="AM112" s="10">
        <v>51.797309402464109</v>
      </c>
      <c r="AN112" s="10">
        <v>-3.886877709063306</v>
      </c>
      <c r="AO112">
        <f t="shared" si="6"/>
        <v>962.29041407897819</v>
      </c>
      <c r="AP112">
        <f t="shared" si="7"/>
        <v>-72.21041407897809</v>
      </c>
      <c r="AZ112" s="10">
        <v>58</v>
      </c>
      <c r="BA112" s="10">
        <v>0.61983155136230805</v>
      </c>
      <c r="BB112" s="10">
        <v>8.3785750743143095E-2</v>
      </c>
      <c r="BE112" s="10">
        <v>58</v>
      </c>
      <c r="BF112" s="10">
        <v>0.63100781645471149</v>
      </c>
      <c r="BG112" s="10">
        <v>7.2609485650739658E-2</v>
      </c>
    </row>
    <row r="113" spans="17:59" ht="13.5" thickBot="1">
      <c r="Q113" s="10">
        <v>58</v>
      </c>
      <c r="R113" s="10">
        <v>0.60826285810478475</v>
      </c>
      <c r="S113" s="10">
        <v>0.20872258100174412</v>
      </c>
      <c r="AC113" s="10">
        <v>58</v>
      </c>
      <c r="AD113" s="10">
        <v>0.76869967274204565</v>
      </c>
      <c r="AE113" s="10">
        <v>-0.19204137505795604</v>
      </c>
      <c r="AL113" s="10">
        <v>58</v>
      </c>
      <c r="AM113" s="10">
        <v>51.754908816864869</v>
      </c>
      <c r="AN113" s="10">
        <v>-16.539062116466546</v>
      </c>
      <c r="AO113">
        <f t="shared" si="6"/>
        <v>961.50269599971557</v>
      </c>
      <c r="AP113">
        <f t="shared" si="7"/>
        <v>-307.2626959997155</v>
      </c>
      <c r="AZ113" s="11">
        <v>59</v>
      </c>
      <c r="BA113" s="11">
        <v>0.62486607047273779</v>
      </c>
      <c r="BB113" s="11">
        <v>-1.9415427490159232E-2</v>
      </c>
      <c r="BE113" s="11">
        <v>59</v>
      </c>
      <c r="BF113" s="11">
        <v>0.59739138204975739</v>
      </c>
      <c r="BG113" s="11">
        <v>8.0592609328211662E-3</v>
      </c>
    </row>
    <row r="114" spans="17:59">
      <c r="Q114" s="10">
        <v>59</v>
      </c>
      <c r="R114" s="10">
        <v>0.59705534156969853</v>
      </c>
      <c r="S114" s="10">
        <v>-7.7950719971486837E-3</v>
      </c>
      <c r="AC114" s="10">
        <v>59</v>
      </c>
      <c r="AD114" s="10">
        <v>0.776183371233371</v>
      </c>
      <c r="AE114" s="10">
        <v>3.1759903200723083E-2</v>
      </c>
      <c r="AL114" s="10">
        <v>59</v>
      </c>
      <c r="AM114" s="10">
        <v>52.525735341296183</v>
      </c>
      <c r="AN114" s="10">
        <v>1.3697324162665225</v>
      </c>
      <c r="AO114">
        <f t="shared" si="6"/>
        <v>975.82311117060044</v>
      </c>
      <c r="AP114">
        <f t="shared" si="7"/>
        <v>25.446888829399455</v>
      </c>
    </row>
    <row r="115" spans="17:59">
      <c r="Q115" s="10">
        <v>60</v>
      </c>
      <c r="R115" s="10">
        <v>0.60412122360673493</v>
      </c>
      <c r="S115" s="10">
        <v>-0.10528511736875756</v>
      </c>
      <c r="AC115" s="10">
        <v>60</v>
      </c>
      <c r="AD115" s="10">
        <v>0.77113019201779587</v>
      </c>
      <c r="AE115" s="10">
        <v>9.5566144142299692E-2</v>
      </c>
      <c r="AL115" s="10">
        <v>60</v>
      </c>
      <c r="AM115" s="10">
        <v>52.040197389590347</v>
      </c>
      <c r="AN115" s="10">
        <v>8.0367753738933416</v>
      </c>
      <c r="AO115">
        <f t="shared" si="6"/>
        <v>966.80278710380946</v>
      </c>
      <c r="AP115">
        <f t="shared" si="7"/>
        <v>149.30721289619049</v>
      </c>
    </row>
    <row r="116" spans="17:59">
      <c r="Q116" s="10">
        <v>61</v>
      </c>
      <c r="R116" s="10">
        <v>0.60342716842328248</v>
      </c>
      <c r="S116" s="10">
        <v>2.023474559296079E-3</v>
      </c>
      <c r="AC116" s="10">
        <v>61</v>
      </c>
      <c r="AD116" s="10">
        <v>0.77317727119905599</v>
      </c>
      <c r="AE116" s="10">
        <v>2.2705583819182307E-2</v>
      </c>
      <c r="AL116" s="10">
        <v>61</v>
      </c>
      <c r="AM116" s="10">
        <v>52.143919550549271</v>
      </c>
      <c r="AN116" s="10">
        <v>0.59480367046483451</v>
      </c>
      <c r="AO116">
        <f t="shared" si="6"/>
        <v>968.72973741010435</v>
      </c>
      <c r="AP116">
        <f t="shared" si="7"/>
        <v>11.050262589895695</v>
      </c>
    </row>
    <row r="117" spans="17:59">
      <c r="Q117" s="10">
        <v>62</v>
      </c>
      <c r="R117" s="10">
        <v>0.60549234264651564</v>
      </c>
      <c r="S117" s="10">
        <v>5.6601942691274387E-2</v>
      </c>
      <c r="AC117" s="10">
        <v>62</v>
      </c>
      <c r="AD117" s="10">
        <v>0.77108765137562929</v>
      </c>
      <c r="AE117" s="10">
        <v>-2.1667103670243049E-2</v>
      </c>
      <c r="AL117" s="10">
        <v>62</v>
      </c>
      <c r="AM117" s="10">
        <v>51.993132937735879</v>
      </c>
      <c r="AN117" s="10">
        <v>-3.4529240885594348</v>
      </c>
      <c r="AO117">
        <f t="shared" si="6"/>
        <v>965.92842371725715</v>
      </c>
      <c r="AP117">
        <f t="shared" si="7"/>
        <v>-64.148423717257174</v>
      </c>
    </row>
    <row r="118" spans="17:59" ht="13.5" thickBot="1">
      <c r="Q118" s="11">
        <v>63</v>
      </c>
      <c r="R118" s="11">
        <v>0.57439014668573629</v>
      </c>
      <c r="S118" s="11">
        <v>-0.46386345906569543</v>
      </c>
      <c r="AC118" s="11">
        <v>63</v>
      </c>
      <c r="AD118" s="11">
        <v>0.78891859399126996</v>
      </c>
      <c r="AE118" s="11">
        <v>0.20495456256531086</v>
      </c>
      <c r="AL118" s="11">
        <v>63</v>
      </c>
      <c r="AM118" s="11">
        <v>54.074821355642918</v>
      </c>
      <c r="AN118" s="11">
        <v>29.579500961075787</v>
      </c>
      <c r="AO118">
        <f t="shared" si="6"/>
        <v>1004.6020311451341</v>
      </c>
      <c r="AP118">
        <f t="shared" si="7"/>
        <v>549.527968854866</v>
      </c>
    </row>
    <row r="120" spans="17:59">
      <c r="AL120" s="17"/>
      <c r="AP120">
        <f t="array" ref="AP120">MEDIAN(ABS(AP56:AP118))</f>
        <v>72.21041407897809</v>
      </c>
    </row>
    <row r="121" spans="17:59">
      <c r="Q121" t="s">
        <v>41</v>
      </c>
      <c r="AC121" t="s">
        <v>41</v>
      </c>
    </row>
    <row r="122" spans="17:59" ht="13.5" thickBot="1">
      <c r="AP122" s="26">
        <f>MEDIAN(AP56:AP118)</f>
        <v>7.3706735587575727</v>
      </c>
    </row>
    <row r="123" spans="17:59">
      <c r="Q123" s="13" t="s">
        <v>42</v>
      </c>
      <c r="R123" s="13"/>
      <c r="AC123" s="13" t="s">
        <v>42</v>
      </c>
      <c r="AD123" s="13"/>
      <c r="AP123" s="26">
        <f t="array" ref="AP123">MEDIAN(ABS(AP56:AP118-$AP$122))</f>
        <v>71.519097276014747</v>
      </c>
    </row>
    <row r="124" spans="17:59">
      <c r="Q124" s="10" t="s">
        <v>43</v>
      </c>
      <c r="R124" s="10">
        <v>0.18980382878308158</v>
      </c>
      <c r="AC124" s="10" t="s">
        <v>43</v>
      </c>
      <c r="AD124" s="10">
        <v>0.15779169422760431</v>
      </c>
    </row>
    <row r="125" spans="17:59">
      <c r="Q125" s="10" t="s">
        <v>44</v>
      </c>
      <c r="R125" s="10">
        <v>3.6025493420717349E-2</v>
      </c>
      <c r="AC125" s="10" t="s">
        <v>44</v>
      </c>
      <c r="AD125" s="10">
        <v>2.4898218767217775E-2</v>
      </c>
    </row>
    <row r="126" spans="17:59">
      <c r="Q126" s="10" t="s">
        <v>45</v>
      </c>
      <c r="R126" s="10">
        <v>-1.3835256919590372E-2</v>
      </c>
      <c r="AC126" s="10" t="s">
        <v>45</v>
      </c>
      <c r="AD126" s="10">
        <v>-2.5538080262064063E-2</v>
      </c>
    </row>
    <row r="127" spans="17:59">
      <c r="Q127" s="10" t="s">
        <v>46</v>
      </c>
      <c r="R127" s="10">
        <v>8.461990992580963E-2</v>
      </c>
      <c r="AC127" s="10" t="s">
        <v>46</v>
      </c>
      <c r="AD127" s="10">
        <v>7.9017138802115749E-2</v>
      </c>
    </row>
    <row r="128" spans="17:59" ht="13.5" thickBot="1">
      <c r="Q128" s="11" t="s">
        <v>47</v>
      </c>
      <c r="R128" s="11">
        <v>62</v>
      </c>
      <c r="AC128" s="11" t="s">
        <v>47</v>
      </c>
      <c r="AD128" s="11">
        <v>62</v>
      </c>
    </row>
    <row r="130" spans="17:37" ht="13.5" thickBot="1">
      <c r="Q130" t="s">
        <v>48</v>
      </c>
      <c r="AC130" t="s">
        <v>48</v>
      </c>
    </row>
    <row r="131" spans="17:37">
      <c r="Q131" s="12"/>
      <c r="R131" s="12" t="s">
        <v>53</v>
      </c>
      <c r="S131" s="12" t="s">
        <v>54</v>
      </c>
      <c r="T131" s="12" t="s">
        <v>55</v>
      </c>
      <c r="U131" s="12" t="s">
        <v>56</v>
      </c>
      <c r="V131" s="12" t="s">
        <v>57</v>
      </c>
      <c r="AC131" s="12"/>
      <c r="AD131" s="12" t="s">
        <v>53</v>
      </c>
      <c r="AE131" s="12" t="s">
        <v>54</v>
      </c>
      <c r="AF131" s="12" t="s">
        <v>55</v>
      </c>
      <c r="AG131" s="12" t="s">
        <v>56</v>
      </c>
      <c r="AH131" s="12" t="s">
        <v>57</v>
      </c>
    </row>
    <row r="132" spans="17:37">
      <c r="Q132" s="10" t="s">
        <v>49</v>
      </c>
      <c r="R132" s="10">
        <v>3</v>
      </c>
      <c r="S132" s="10">
        <v>1.5520921420097533E-2</v>
      </c>
      <c r="T132" s="10">
        <v>5.1736404733658441E-3</v>
      </c>
      <c r="U132" s="10">
        <v>0.72252208751046654</v>
      </c>
      <c r="V132" s="10">
        <v>0.5426221932066011</v>
      </c>
      <c r="AC132" s="10" t="s">
        <v>49</v>
      </c>
      <c r="AD132" s="10">
        <v>3</v>
      </c>
      <c r="AE132" s="10">
        <v>9.2467458725320473E-3</v>
      </c>
      <c r="AF132" s="10">
        <v>3.0822486241773492E-3</v>
      </c>
      <c r="AG132" s="10">
        <v>0.49365673624788764</v>
      </c>
      <c r="AH132" s="10">
        <v>0.68808259309274422</v>
      </c>
    </row>
    <row r="133" spans="17:37">
      <c r="Q133" s="10" t="s">
        <v>50</v>
      </c>
      <c r="R133" s="10">
        <v>58</v>
      </c>
      <c r="S133" s="10">
        <v>0.41531069103942386</v>
      </c>
      <c r="T133" s="10">
        <v>7.1605291558521356E-3</v>
      </c>
      <c r="U133" s="10"/>
      <c r="V133" s="10"/>
      <c r="AC133" s="10" t="s">
        <v>50</v>
      </c>
      <c r="AD133" s="10">
        <v>58</v>
      </c>
      <c r="AE133" s="10">
        <v>0.36213507701942399</v>
      </c>
      <c r="AF133" s="10">
        <v>6.2437082244728272E-3</v>
      </c>
      <c r="AG133" s="10"/>
      <c r="AH133" s="10"/>
    </row>
    <row r="134" spans="17:37" ht="13.5" thickBot="1">
      <c r="Q134" s="11" t="s">
        <v>51</v>
      </c>
      <c r="R134" s="11">
        <v>61</v>
      </c>
      <c r="S134" s="11">
        <v>0.4308316124595214</v>
      </c>
      <c r="T134" s="11"/>
      <c r="U134" s="11"/>
      <c r="V134" s="11"/>
      <c r="AC134" s="11" t="s">
        <v>51</v>
      </c>
      <c r="AD134" s="11">
        <v>61</v>
      </c>
      <c r="AE134" s="11">
        <v>0.37138182289195604</v>
      </c>
      <c r="AF134" s="11"/>
      <c r="AG134" s="11"/>
      <c r="AH134" s="11"/>
    </row>
    <row r="135" spans="17:37" ht="13.5" thickBot="1"/>
    <row r="136" spans="17:37">
      <c r="Q136" s="12"/>
      <c r="R136" s="12" t="s">
        <v>58</v>
      </c>
      <c r="S136" s="12" t="s">
        <v>46</v>
      </c>
      <c r="T136" s="12" t="s">
        <v>59</v>
      </c>
      <c r="U136" s="12" t="s">
        <v>60</v>
      </c>
      <c r="V136" s="12" t="s">
        <v>61</v>
      </c>
      <c r="W136" s="12" t="s">
        <v>62</v>
      </c>
      <c r="X136" s="12" t="s">
        <v>63</v>
      </c>
      <c r="Y136" s="12" t="s">
        <v>64</v>
      </c>
      <c r="AC136" s="12"/>
      <c r="AD136" s="12" t="s">
        <v>58</v>
      </c>
      <c r="AE136" s="12" t="s">
        <v>46</v>
      </c>
      <c r="AF136" s="12" t="s">
        <v>59</v>
      </c>
      <c r="AG136" s="12" t="s">
        <v>60</v>
      </c>
      <c r="AH136" s="12" t="s">
        <v>61</v>
      </c>
      <c r="AI136" s="12" t="s">
        <v>62</v>
      </c>
      <c r="AJ136" s="12" t="s">
        <v>63</v>
      </c>
      <c r="AK136" s="12" t="s">
        <v>64</v>
      </c>
    </row>
    <row r="137" spans="17:37">
      <c r="Q137" s="10" t="s">
        <v>52</v>
      </c>
      <c r="R137" s="10">
        <v>0.52070903912629107</v>
      </c>
      <c r="S137" s="10">
        <v>0.1124623304046324</v>
      </c>
      <c r="T137" s="10">
        <v>4.6300751305153707</v>
      </c>
      <c r="U137" s="10">
        <v>2.1068265387281777E-5</v>
      </c>
      <c r="V137" s="10">
        <v>0.29559122604762011</v>
      </c>
      <c r="W137" s="10">
        <v>0.74582685220496203</v>
      </c>
      <c r="X137" s="10">
        <v>0.29559122604762011</v>
      </c>
      <c r="Y137" s="10">
        <v>0.74582685220496203</v>
      </c>
      <c r="AC137" s="10" t="s">
        <v>52</v>
      </c>
      <c r="AD137" s="10">
        <v>0.8474719333037557</v>
      </c>
      <c r="AE137" s="10">
        <v>0.10501608403250988</v>
      </c>
      <c r="AF137" s="10">
        <v>8.0699251082472614</v>
      </c>
      <c r="AG137" s="10">
        <v>4.6765899276455084E-11</v>
      </c>
      <c r="AH137" s="10">
        <v>0.63725940177941542</v>
      </c>
      <c r="AI137" s="10">
        <v>1.0576844648280961</v>
      </c>
      <c r="AJ137" s="10">
        <v>0.63725940177941542</v>
      </c>
      <c r="AK137" s="10">
        <v>1.0576844648280961</v>
      </c>
    </row>
    <row r="138" spans="17:37">
      <c r="Q138" s="10" t="s">
        <v>3</v>
      </c>
      <c r="R138" s="10">
        <v>3.2812843526837687E-3</v>
      </c>
      <c r="S138" s="10">
        <v>2.8503907024746999E-3</v>
      </c>
      <c r="T138" s="10">
        <v>1.1511700307733141</v>
      </c>
      <c r="U138" s="10">
        <v>0.25438592723387232</v>
      </c>
      <c r="V138" s="10">
        <v>-2.4243925531048575E-3</v>
      </c>
      <c r="W138" s="10">
        <v>8.9869612584723944E-3</v>
      </c>
      <c r="X138" s="10">
        <v>-2.4243925531048575E-3</v>
      </c>
      <c r="Y138" s="10">
        <v>8.9869612584723944E-3</v>
      </c>
      <c r="AC138" s="10" t="s">
        <v>3</v>
      </c>
      <c r="AD138" s="10">
        <v>-2.2038451347502815E-3</v>
      </c>
      <c r="AE138" s="10">
        <v>2.6616634072900028E-3</v>
      </c>
      <c r="AF138" s="10">
        <v>-0.82799542899158196</v>
      </c>
      <c r="AG138" s="10">
        <v>0.41106719167426675</v>
      </c>
      <c r="AH138" s="10">
        <v>-7.5317433140322607E-3</v>
      </c>
      <c r="AI138" s="10">
        <v>3.1240530445316977E-3</v>
      </c>
      <c r="AJ138" s="10">
        <v>-7.5317433140322607E-3</v>
      </c>
      <c r="AK138" s="10">
        <v>3.1240530445316977E-3</v>
      </c>
    </row>
    <row r="139" spans="17:37">
      <c r="Q139" s="10" t="s">
        <v>4</v>
      </c>
      <c r="R139" s="10">
        <v>1.3652470471072289E-3</v>
      </c>
      <c r="S139" s="10">
        <v>2.5640273018724619E-3</v>
      </c>
      <c r="T139" s="10">
        <v>0.53246197733940437</v>
      </c>
      <c r="U139" s="10">
        <v>0.59644013919210059</v>
      </c>
      <c r="V139" s="10">
        <v>-3.7672112328766116E-3</v>
      </c>
      <c r="W139" s="10">
        <v>6.497705327091069E-3</v>
      </c>
      <c r="X139" s="10">
        <v>-3.7672112328766116E-3</v>
      </c>
      <c r="Y139" s="10">
        <v>6.497705327091069E-3</v>
      </c>
      <c r="AC139" s="10" t="s">
        <v>4</v>
      </c>
      <c r="AD139" s="10">
        <v>-1.3448280553115105E-3</v>
      </c>
      <c r="AE139" s="10">
        <v>2.3942604214788423E-3</v>
      </c>
      <c r="AF139" s="10">
        <v>-0.56168829557849942</v>
      </c>
      <c r="AG139" s="10">
        <v>0.57649253387334454</v>
      </c>
      <c r="AH139" s="10">
        <v>-6.1374610025826497E-3</v>
      </c>
      <c r="AI139" s="10">
        <v>3.4478048919596282E-3</v>
      </c>
      <c r="AJ139" s="10">
        <v>-6.1374610025826497E-3</v>
      </c>
      <c r="AK139" s="10">
        <v>3.4478048919596282E-3</v>
      </c>
    </row>
    <row r="140" spans="17:37" ht="13.5" thickBot="1">
      <c r="Q140" s="11" t="s">
        <v>5</v>
      </c>
      <c r="R140" s="11">
        <v>-6.050821712713227E-4</v>
      </c>
      <c r="S140" s="11">
        <v>2.4919691069105404E-3</v>
      </c>
      <c r="T140" s="11">
        <v>-0.24281287018902223</v>
      </c>
      <c r="U140" s="11">
        <v>0.80900701206312486</v>
      </c>
      <c r="V140" s="11">
        <v>-5.593300302523938E-3</v>
      </c>
      <c r="W140" s="11">
        <v>4.3831359599812931E-3</v>
      </c>
      <c r="X140" s="11">
        <v>-5.593300302523938E-3</v>
      </c>
      <c r="Y140" s="11">
        <v>4.3831359599812931E-3</v>
      </c>
      <c r="AC140" s="11" t="s">
        <v>5</v>
      </c>
      <c r="AD140" s="11">
        <v>4.0838556811593932E-4</v>
      </c>
      <c r="AE140" s="11">
        <v>2.3269732735945198E-3</v>
      </c>
      <c r="AF140" s="11">
        <v>0.17550075574572388</v>
      </c>
      <c r="AG140" s="11">
        <v>0.86129745695617588</v>
      </c>
      <c r="AH140" s="11">
        <v>-4.2495575187768845E-3</v>
      </c>
      <c r="AI140" s="11">
        <v>5.0663286550087635E-3</v>
      </c>
      <c r="AJ140" s="11">
        <v>-4.2495575187768845E-3</v>
      </c>
      <c r="AK140" s="11">
        <v>5.0663286550087635E-3</v>
      </c>
    </row>
    <row r="144" spans="17:37">
      <c r="Q144" t="s">
        <v>65</v>
      </c>
      <c r="AC144" t="s">
        <v>65</v>
      </c>
    </row>
    <row r="145" spans="17:31" ht="13.5" thickBot="1"/>
    <row r="146" spans="17:31">
      <c r="Q146" s="12" t="s">
        <v>66</v>
      </c>
      <c r="R146" s="12" t="s">
        <v>67</v>
      </c>
      <c r="S146" s="12" t="s">
        <v>68</v>
      </c>
      <c r="AC146" s="12" t="s">
        <v>66</v>
      </c>
      <c r="AD146" s="12" t="s">
        <v>84</v>
      </c>
      <c r="AE146" s="12" t="s">
        <v>68</v>
      </c>
    </row>
    <row r="147" spans="17:31">
      <c r="Q147" s="10">
        <v>1</v>
      </c>
      <c r="R147" s="10">
        <v>0.70761649336337229</v>
      </c>
      <c r="S147" s="10">
        <v>1.2950382578344022E-2</v>
      </c>
      <c r="AC147" s="10">
        <v>1</v>
      </c>
      <c r="AD147" s="10">
        <v>0.70362418502108293</v>
      </c>
      <c r="AE147" s="10">
        <v>-1.0238738609352094E-2</v>
      </c>
    </row>
    <row r="148" spans="17:31">
      <c r="Q148" s="10">
        <v>2</v>
      </c>
      <c r="R148" s="10">
        <v>0.68484908447811088</v>
      </c>
      <c r="S148" s="10">
        <v>1.6327488681218472E-2</v>
      </c>
      <c r="AC148" s="10">
        <v>2</v>
      </c>
      <c r="AD148" s="10">
        <v>0.719783380214153</v>
      </c>
      <c r="AE148" s="10">
        <v>-6.7957132433001943E-3</v>
      </c>
    </row>
    <row r="149" spans="17:31">
      <c r="Q149" s="10">
        <v>3</v>
      </c>
      <c r="R149" s="10">
        <v>0.69428198133527053</v>
      </c>
      <c r="S149" s="10">
        <v>-3.4189955962008467E-3</v>
      </c>
      <c r="AC149" s="10">
        <v>3</v>
      </c>
      <c r="AD149" s="10">
        <v>0.71386181902315227</v>
      </c>
      <c r="AE149" s="10">
        <v>9.123889643138039E-3</v>
      </c>
    </row>
    <row r="150" spans="17:31">
      <c r="Q150" s="10">
        <v>4</v>
      </c>
      <c r="R150" s="10">
        <v>0.66817899618452348</v>
      </c>
      <c r="S150" s="10">
        <v>-5.3609320042597219E-2</v>
      </c>
      <c r="AC150" s="10">
        <v>4</v>
      </c>
      <c r="AD150" s="10">
        <v>0.73311905589496129</v>
      </c>
      <c r="AE150" s="10">
        <v>5.5743488004042607E-2</v>
      </c>
    </row>
    <row r="151" spans="17:31">
      <c r="Q151" s="10">
        <v>5</v>
      </c>
      <c r="R151" s="10">
        <v>0.68701353966686896</v>
      </c>
      <c r="S151" s="10">
        <v>4.6874860587308498E-2</v>
      </c>
      <c r="AC151" s="10">
        <v>5</v>
      </c>
      <c r="AD151" s="10">
        <v>0.71831175523585988</v>
      </c>
      <c r="AE151" s="10">
        <v>-3.90416940875975E-2</v>
      </c>
    </row>
    <row r="152" spans="17:31">
      <c r="Q152" s="10">
        <v>6</v>
      </c>
      <c r="R152" s="10">
        <v>0.67771268383344563</v>
      </c>
      <c r="S152" s="10">
        <v>4.9562096693026469E-2</v>
      </c>
      <c r="AC152" s="10">
        <v>6</v>
      </c>
      <c r="AD152" s="10">
        <v>0.72756363432886983</v>
      </c>
      <c r="AE152" s="10">
        <v>-4.1217224991593637E-2</v>
      </c>
    </row>
    <row r="153" spans="17:31">
      <c r="Q153" s="10">
        <v>7</v>
      </c>
      <c r="R153" s="10">
        <v>0.69128782071088746</v>
      </c>
      <c r="S153" s="10">
        <v>0.10146749437070124</v>
      </c>
      <c r="AC153" s="10">
        <v>7</v>
      </c>
      <c r="AD153" s="10">
        <v>0.71886792514083231</v>
      </c>
      <c r="AE153" s="10">
        <v>-0.10932792611706776</v>
      </c>
    </row>
    <row r="154" spans="17:31">
      <c r="Q154" s="10">
        <v>8</v>
      </c>
      <c r="R154" s="10">
        <v>0.68756432992533834</v>
      </c>
      <c r="S154" s="10">
        <v>0.16365260989037655</v>
      </c>
      <c r="AC154" s="10">
        <v>8</v>
      </c>
      <c r="AD154" s="10">
        <v>0.71879756621173263</v>
      </c>
      <c r="AE154" s="10">
        <v>-0.1939835788116544</v>
      </c>
    </row>
    <row r="155" spans="17:31">
      <c r="Q155" s="10">
        <v>9</v>
      </c>
      <c r="R155" s="10">
        <v>0.69725310027882503</v>
      </c>
      <c r="S155" s="10">
        <v>9.780604273696758E-3</v>
      </c>
      <c r="AC155" s="10">
        <v>9</v>
      </c>
      <c r="AD155" s="10">
        <v>0.71271408772656142</v>
      </c>
      <c r="AE155" s="10">
        <v>-5.5342374573832398E-3</v>
      </c>
    </row>
    <row r="156" spans="17:31">
      <c r="Q156" s="10">
        <v>10</v>
      </c>
      <c r="R156" s="10">
        <v>0.699774219755673</v>
      </c>
      <c r="S156" s="10">
        <v>-4.1688350391155593E-2</v>
      </c>
      <c r="AC156" s="10">
        <v>10</v>
      </c>
      <c r="AD156" s="10">
        <v>0.71144668507900655</v>
      </c>
      <c r="AE156" s="10">
        <v>4.1496200233516523E-2</v>
      </c>
    </row>
    <row r="157" spans="17:31">
      <c r="Q157" s="10">
        <v>11</v>
      </c>
      <c r="R157" s="10">
        <v>0.68422875365985258</v>
      </c>
      <c r="S157" s="10">
        <v>-5.466892043303917E-2</v>
      </c>
      <c r="AC157" s="10">
        <v>11</v>
      </c>
      <c r="AD157" s="10">
        <v>0.72189560789047147</v>
      </c>
      <c r="AE157" s="10">
        <v>5.5056396024459442E-2</v>
      </c>
    </row>
    <row r="158" spans="17:31">
      <c r="Q158" s="10">
        <v>12</v>
      </c>
      <c r="R158" s="10">
        <v>0.65626402311633103</v>
      </c>
      <c r="S158" s="10">
        <v>0.21297501166483834</v>
      </c>
      <c r="AC158" s="10">
        <v>12</v>
      </c>
      <c r="AD158" s="10">
        <v>0.74111766529773071</v>
      </c>
      <c r="AE158" s="10">
        <v>-0.24672561397337839</v>
      </c>
    </row>
    <row r="159" spans="17:31">
      <c r="Q159" s="10">
        <v>13</v>
      </c>
      <c r="R159" s="10">
        <v>0.66261721720433209</v>
      </c>
      <c r="S159" s="10">
        <v>6.5063656873455278E-2</v>
      </c>
      <c r="AC159" s="10">
        <v>13</v>
      </c>
      <c r="AD159" s="10">
        <v>0.73813222849129845</v>
      </c>
      <c r="AE159" s="10">
        <v>-5.2216384162427909E-2</v>
      </c>
    </row>
    <row r="160" spans="17:31">
      <c r="Q160" s="10">
        <v>14</v>
      </c>
      <c r="R160" s="10">
        <v>0.70148088244388296</v>
      </c>
      <c r="S160" s="10">
        <v>-6.0905324829154894E-2</v>
      </c>
      <c r="AC160" s="10">
        <v>14</v>
      </c>
      <c r="AD160" s="10">
        <v>0.7120099214626362</v>
      </c>
      <c r="AE160" s="10">
        <v>5.5885224365607833E-2</v>
      </c>
    </row>
    <row r="161" spans="17:31">
      <c r="Q161" s="10">
        <v>15</v>
      </c>
      <c r="R161" s="10">
        <v>0.68221192556251342</v>
      </c>
      <c r="S161" s="10">
        <v>1.2897736565093632E-2</v>
      </c>
      <c r="AC161" s="10">
        <v>15</v>
      </c>
      <c r="AD161" s="10">
        <v>0.72238848534500122</v>
      </c>
      <c r="AE161" s="10">
        <v>-3.4847660495422872E-3</v>
      </c>
    </row>
    <row r="162" spans="17:31">
      <c r="Q162" s="10">
        <v>16</v>
      </c>
      <c r="R162" s="10">
        <v>0.67832555903855829</v>
      </c>
      <c r="S162" s="10">
        <v>2.583715171680101E-3</v>
      </c>
      <c r="AC162" s="10">
        <v>16</v>
      </c>
      <c r="AD162" s="10">
        <v>0.72500071604786742</v>
      </c>
      <c r="AE162" s="10">
        <v>7.3670606152558271E-3</v>
      </c>
    </row>
    <row r="163" spans="17:31">
      <c r="Q163" s="10">
        <v>17</v>
      </c>
      <c r="R163" s="10">
        <v>0.70148088244388296</v>
      </c>
      <c r="S163" s="10">
        <v>-8.3855076234624737E-2</v>
      </c>
      <c r="AC163" s="10">
        <v>17</v>
      </c>
      <c r="AD163" s="10">
        <v>0.7120099214626362</v>
      </c>
      <c r="AE163" s="10">
        <v>7.4462178172413629E-2</v>
      </c>
    </row>
    <row r="164" spans="17:31">
      <c r="Q164" s="10">
        <v>18</v>
      </c>
      <c r="R164" s="10">
        <v>0.67110361624911752</v>
      </c>
      <c r="S164" s="10">
        <v>-5.7304982522657477E-2</v>
      </c>
      <c r="AC164" s="10">
        <v>18</v>
      </c>
      <c r="AD164" s="10">
        <v>0.73071098842947257</v>
      </c>
      <c r="AE164" s="10">
        <v>5.8751637180841532E-2</v>
      </c>
    </row>
    <row r="165" spans="17:31">
      <c r="Q165" s="10">
        <v>19</v>
      </c>
      <c r="R165" s="10">
        <v>0.66771374807082973</v>
      </c>
      <c r="S165" s="10">
        <v>1.7141747174273858E-2</v>
      </c>
      <c r="AC165" s="10">
        <v>19</v>
      </c>
      <c r="AD165" s="10">
        <v>0.73470322665220023</v>
      </c>
      <c r="AE165" s="10">
        <v>-6.0243188796588187E-3</v>
      </c>
    </row>
    <row r="166" spans="17:31">
      <c r="Q166" s="10">
        <v>20</v>
      </c>
      <c r="R166" s="10">
        <v>0.66448675563094795</v>
      </c>
      <c r="S166" s="10">
        <v>3.0062128617379003E-2</v>
      </c>
      <c r="AC166" s="10">
        <v>20</v>
      </c>
      <c r="AD166" s="10">
        <v>0.73601287524296177</v>
      </c>
      <c r="AE166" s="10">
        <v>-1.6567361399554614E-2</v>
      </c>
    </row>
    <row r="167" spans="17:31">
      <c r="Q167" s="10">
        <v>21</v>
      </c>
      <c r="R167" s="10">
        <v>0.66886962050057042</v>
      </c>
      <c r="S167" s="10">
        <v>-0.12315476604936759</v>
      </c>
      <c r="AC167" s="10">
        <v>21</v>
      </c>
      <c r="AD167" s="10">
        <v>0.73478065205995702</v>
      </c>
      <c r="AE167" s="10">
        <v>0.1031902887436621</v>
      </c>
    </row>
    <row r="168" spans="17:31">
      <c r="Q168" s="10">
        <v>22</v>
      </c>
      <c r="R168" s="10">
        <v>0.67658806163567853</v>
      </c>
      <c r="S168" s="10">
        <v>-5.3891840133684532E-2</v>
      </c>
      <c r="AC168" s="10">
        <v>22</v>
      </c>
      <c r="AD168" s="10">
        <v>0.7304503871982132</v>
      </c>
      <c r="AE168" s="10">
        <v>5.2013296129734932E-2</v>
      </c>
    </row>
    <row r="169" spans="17:31">
      <c r="Q169" s="10">
        <v>23</v>
      </c>
      <c r="R169" s="10">
        <v>0.67083994971894889</v>
      </c>
      <c r="S169" s="10">
        <v>-3.4494275646297257E-2</v>
      </c>
      <c r="AC169" s="10">
        <v>23</v>
      </c>
      <c r="AD169" s="10">
        <v>0.73302743843652951</v>
      </c>
      <c r="AE169" s="10">
        <v>3.8376595185944273E-2</v>
      </c>
    </row>
    <row r="170" spans="17:31">
      <c r="Q170" s="10">
        <v>24</v>
      </c>
      <c r="R170" s="10">
        <v>0.69224211155710291</v>
      </c>
      <c r="S170" s="10">
        <v>-2.1225855036627328E-2</v>
      </c>
      <c r="AC170" s="10">
        <v>24</v>
      </c>
      <c r="AD170" s="10">
        <v>0.7182130712987711</v>
      </c>
      <c r="AE170" s="10">
        <v>2.3229565380053385E-2</v>
      </c>
    </row>
    <row r="171" spans="17:31">
      <c r="Q171" s="10">
        <v>25</v>
      </c>
      <c r="R171" s="10">
        <v>0.66761295727906711</v>
      </c>
      <c r="S171" s="10">
        <v>-7.5093673109624892E-2</v>
      </c>
      <c r="AC171" s="10">
        <v>25</v>
      </c>
      <c r="AD171" s="10">
        <v>0.73433708702729128</v>
      </c>
      <c r="AE171" s="10">
        <v>7.1219179094034191E-2</v>
      </c>
    </row>
    <row r="172" spans="17:31">
      <c r="Q172" s="10">
        <v>26</v>
      </c>
      <c r="R172" s="10">
        <v>0.65206749118324681</v>
      </c>
      <c r="S172" s="10">
        <v>-2.8166455851994954E-2</v>
      </c>
      <c r="AC172" s="10">
        <v>26</v>
      </c>
      <c r="AD172" s="10">
        <v>0.74478600983875609</v>
      </c>
      <c r="AE172" s="10">
        <v>3.6717347871619954E-2</v>
      </c>
    </row>
    <row r="173" spans="17:31">
      <c r="Q173" s="10">
        <v>27</v>
      </c>
      <c r="R173" s="10">
        <v>0.69323510824843748</v>
      </c>
      <c r="S173" s="10">
        <v>-4.4765570920162423E-2</v>
      </c>
      <c r="AC173" s="10">
        <v>27</v>
      </c>
      <c r="AD173" s="10">
        <v>0.72097308633849388</v>
      </c>
      <c r="AE173" s="10">
        <v>4.0267518961336957E-2</v>
      </c>
    </row>
    <row r="174" spans="17:31">
      <c r="Q174" s="10">
        <v>28</v>
      </c>
      <c r="R174" s="10">
        <v>0.66827233136314046</v>
      </c>
      <c r="S174" s="10">
        <v>2.1401092653246523E-2</v>
      </c>
      <c r="AC174" s="10">
        <v>28</v>
      </c>
      <c r="AD174" s="10">
        <v>0.73303450491518662</v>
      </c>
      <c r="AE174" s="10">
        <v>-8.9139567980150991E-3</v>
      </c>
    </row>
    <row r="175" spans="17:31">
      <c r="Q175" s="10">
        <v>29</v>
      </c>
      <c r="R175" s="10">
        <v>0.67205011406149151</v>
      </c>
      <c r="S175" s="10">
        <v>-3.5718934169686634E-2</v>
      </c>
      <c r="AC175" s="10">
        <v>29</v>
      </c>
      <c r="AD175" s="10">
        <v>0.73221066730029771</v>
      </c>
      <c r="AE175" s="10">
        <v>3.9205322615327165E-2</v>
      </c>
    </row>
    <row r="176" spans="17:31">
      <c r="Q176" s="10">
        <v>30</v>
      </c>
      <c r="R176" s="10">
        <v>0.65913435126812303</v>
      </c>
      <c r="S176" s="10">
        <v>-6.9608452848171409E-2</v>
      </c>
      <c r="AC176" s="10">
        <v>30</v>
      </c>
      <c r="AD176" s="10">
        <v>0.73960379437623058</v>
      </c>
      <c r="AE176" s="10">
        <v>6.8145681075254316E-2</v>
      </c>
    </row>
    <row r="177" spans="17:31">
      <c r="Q177" s="10">
        <v>31</v>
      </c>
      <c r="R177" s="10">
        <v>0.6772009368407913</v>
      </c>
      <c r="S177" s="10">
        <v>3.6491208229117666E-2</v>
      </c>
      <c r="AC177" s="10">
        <v>31</v>
      </c>
      <c r="AD177" s="10">
        <v>0.7278874689172109</v>
      </c>
      <c r="AE177" s="10">
        <v>-2.7427961118571598E-2</v>
      </c>
    </row>
    <row r="178" spans="17:31">
      <c r="Q178" s="10">
        <v>32</v>
      </c>
      <c r="R178" s="10">
        <v>0.67336886222963832</v>
      </c>
      <c r="S178" s="10">
        <v>5.5770869923355004E-3</v>
      </c>
      <c r="AC178" s="10">
        <v>32</v>
      </c>
      <c r="AD178" s="10">
        <v>0.72960550307608851</v>
      </c>
      <c r="AE178" s="10">
        <v>4.5827548217567404E-3</v>
      </c>
    </row>
    <row r="179" spans="17:31">
      <c r="Q179" s="10">
        <v>33</v>
      </c>
      <c r="R179" s="10">
        <v>0.67200361518253104</v>
      </c>
      <c r="S179" s="10">
        <v>3.6108345641960859E-3</v>
      </c>
      <c r="AC179" s="10">
        <v>33</v>
      </c>
      <c r="AD179" s="10">
        <v>0.73095033113139996</v>
      </c>
      <c r="AE179" s="10">
        <v>6.3047911250867505E-3</v>
      </c>
    </row>
    <row r="180" spans="17:31">
      <c r="Q180" s="10">
        <v>34</v>
      </c>
      <c r="R180" s="10">
        <v>0.67250011352819838</v>
      </c>
      <c r="S180" s="10">
        <v>5.6448963210152914E-2</v>
      </c>
      <c r="AC180" s="10">
        <v>34</v>
      </c>
      <c r="AD180" s="10">
        <v>0.7323303386512614</v>
      </c>
      <c r="AE180" s="10">
        <v>-4.7762413955468097E-2</v>
      </c>
    </row>
    <row r="181" spans="17:31">
      <c r="Q181" s="10">
        <v>35</v>
      </c>
      <c r="R181" s="10">
        <v>0.65897926856355837</v>
      </c>
      <c r="S181" s="10">
        <v>-5.3752959716025117E-2</v>
      </c>
      <c r="AC181" s="10">
        <v>35</v>
      </c>
      <c r="AD181" s="10">
        <v>0.74013185129531023</v>
      </c>
      <c r="AE181" s="10">
        <v>5.592161115478822E-2</v>
      </c>
    </row>
    <row r="182" spans="17:31">
      <c r="Q182" s="10">
        <v>36</v>
      </c>
      <c r="R182" s="10">
        <v>0.67463331848498287</v>
      </c>
      <c r="S182" s="10">
        <v>-4.2806138312244224E-2</v>
      </c>
      <c r="AC182" s="10">
        <v>36</v>
      </c>
      <c r="AD182" s="10">
        <v>0.72789453539586801</v>
      </c>
      <c r="AE182" s="10">
        <v>4.7214756507516165E-2</v>
      </c>
    </row>
    <row r="183" spans="17:31">
      <c r="Q183" s="10">
        <v>37</v>
      </c>
      <c r="R183" s="10">
        <v>0.66286563508751362</v>
      </c>
      <c r="S183" s="10">
        <v>9.0361572845183757E-2</v>
      </c>
      <c r="AC183" s="10">
        <v>37</v>
      </c>
      <c r="AD183" s="10">
        <v>0.73751962059244391</v>
      </c>
      <c r="AE183" s="10">
        <v>-7.9759198227345229E-2</v>
      </c>
    </row>
    <row r="184" spans="17:31">
      <c r="Q184" s="10">
        <v>38</v>
      </c>
      <c r="R184" s="10">
        <v>0.65761402151645121</v>
      </c>
      <c r="S184" s="10">
        <v>-0.12919020273914461</v>
      </c>
      <c r="AC184" s="10">
        <v>38</v>
      </c>
      <c r="AD184" s="10">
        <v>0.74147667935062178</v>
      </c>
      <c r="AE184" s="10">
        <v>0.10750404348636244</v>
      </c>
    </row>
    <row r="185" spans="17:31">
      <c r="Q185" s="10">
        <v>39</v>
      </c>
      <c r="R185" s="10">
        <v>0.66341642534598289</v>
      </c>
      <c r="S185" s="10">
        <v>-0.27360561540076062</v>
      </c>
      <c r="AC185" s="10">
        <v>39</v>
      </c>
      <c r="AD185" s="10">
        <v>0.73800543156831666</v>
      </c>
      <c r="AE185" s="10">
        <v>0.18288953119880036</v>
      </c>
    </row>
    <row r="186" spans="17:31">
      <c r="Q186" s="10">
        <v>40</v>
      </c>
      <c r="R186" s="10">
        <v>0.6601894329061011</v>
      </c>
      <c r="S186" s="10">
        <v>9.080888827445921E-2</v>
      </c>
      <c r="AC186" s="10">
        <v>40</v>
      </c>
      <c r="AD186" s="10">
        <v>0.73931508015907832</v>
      </c>
      <c r="AE186" s="10">
        <v>-7.9010967205069949E-2</v>
      </c>
    </row>
    <row r="187" spans="17:31">
      <c r="Q187" s="10">
        <v>41</v>
      </c>
      <c r="R187" s="10">
        <v>0.66057734742616436</v>
      </c>
      <c r="S187" s="10">
        <v>-1.6761192425871152E-2</v>
      </c>
      <c r="AC187" s="10">
        <v>41</v>
      </c>
      <c r="AD187" s="10">
        <v>0.74248348076691706</v>
      </c>
      <c r="AE187" s="10">
        <v>2.2696732359793637E-2</v>
      </c>
    </row>
    <row r="188" spans="17:31">
      <c r="Q188" s="10">
        <v>42</v>
      </c>
      <c r="R188" s="10">
        <v>0.67037470160525525</v>
      </c>
      <c r="S188" s="10">
        <v>1.3316160437033875E-2</v>
      </c>
      <c r="AC188" s="10">
        <v>42</v>
      </c>
      <c r="AD188" s="10">
        <v>0.73461160919376844</v>
      </c>
      <c r="AE188" s="10">
        <v>-4.839860521711703E-3</v>
      </c>
    </row>
    <row r="189" spans="17:31">
      <c r="Q189" s="10">
        <v>43</v>
      </c>
      <c r="R189" s="10">
        <v>0.66583675403106812</v>
      </c>
      <c r="S189" s="10">
        <v>1.8758562928634537E-2</v>
      </c>
      <c r="AC189" s="10">
        <v>43</v>
      </c>
      <c r="AD189" s="10">
        <v>0.73637188929585295</v>
      </c>
      <c r="AE189" s="10">
        <v>-7.4485380463239492E-3</v>
      </c>
    </row>
    <row r="190" spans="17:31">
      <c r="Q190" s="10">
        <v>44</v>
      </c>
      <c r="R190" s="10">
        <v>0.65467415280487029</v>
      </c>
      <c r="S190" s="10">
        <v>-3.3500751398500173E-2</v>
      </c>
      <c r="AC190" s="10">
        <v>44</v>
      </c>
      <c r="AD190" s="10">
        <v>0.74558858892431301</v>
      </c>
      <c r="AE190" s="10">
        <v>3.808456066372834E-2</v>
      </c>
    </row>
    <row r="191" spans="17:31">
      <c r="Q191" s="10">
        <v>45</v>
      </c>
      <c r="R191" s="10">
        <v>0.67985409734137525</v>
      </c>
      <c r="S191" s="10">
        <v>0.13893136028321251</v>
      </c>
      <c r="AC191" s="10">
        <v>45</v>
      </c>
      <c r="AD191" s="10">
        <v>0.72995038417166569</v>
      </c>
      <c r="AE191" s="10">
        <v>-0.1558507635634524</v>
      </c>
    </row>
    <row r="192" spans="17:31">
      <c r="Q192" s="10">
        <v>46</v>
      </c>
      <c r="R192" s="10">
        <v>0.66962232976326075</v>
      </c>
      <c r="S192" s="10">
        <v>5.7149315315734306E-2</v>
      </c>
      <c r="AC192" s="10">
        <v>46</v>
      </c>
      <c r="AD192" s="10">
        <v>0.7333935189680777</v>
      </c>
      <c r="AE192" s="10">
        <v>-4.6514362267882525E-2</v>
      </c>
    </row>
    <row r="193" spans="17:31">
      <c r="Q193" s="10">
        <v>47</v>
      </c>
      <c r="R193" s="10">
        <v>0.66190388862815253</v>
      </c>
      <c r="S193" s="10">
        <v>-0.16148901184866504</v>
      </c>
      <c r="AC193" s="10">
        <v>47</v>
      </c>
      <c r="AD193" s="10">
        <v>0.7377237838298214</v>
      </c>
      <c r="AE193" s="10">
        <v>0.12806195819748312</v>
      </c>
    </row>
    <row r="194" spans="17:31">
      <c r="Q194" s="10">
        <v>48</v>
      </c>
      <c r="R194" s="10">
        <v>0.66168672097694448</v>
      </c>
      <c r="S194" s="10">
        <v>8.9596881623110192E-2</v>
      </c>
      <c r="AC194" s="10">
        <v>48</v>
      </c>
      <c r="AD194" s="10">
        <v>0.74130057000577609</v>
      </c>
      <c r="AE194" s="10">
        <v>-8.1321063911622304E-2</v>
      </c>
    </row>
    <row r="195" spans="17:31">
      <c r="Q195" s="10">
        <v>49</v>
      </c>
      <c r="R195" s="10">
        <v>0.66098084801391055</v>
      </c>
      <c r="S195" s="10">
        <v>-5.4416725108023423E-2</v>
      </c>
      <c r="AC195" s="10">
        <v>49</v>
      </c>
      <c r="AD195" s="10">
        <v>0.7413428159489831</v>
      </c>
      <c r="AE195" s="10">
        <v>5.369175235821444E-2</v>
      </c>
    </row>
    <row r="196" spans="17:31">
      <c r="Q196" s="10">
        <v>50</v>
      </c>
      <c r="R196" s="10">
        <v>0.67187978270993998</v>
      </c>
      <c r="S196" s="10">
        <v>-5.0139721325637154E-4</v>
      </c>
      <c r="AC196" s="10">
        <v>50</v>
      </c>
      <c r="AD196" s="10">
        <v>0.73444256632757987</v>
      </c>
      <c r="AE196" s="10">
        <v>6.6721774792523059E-3</v>
      </c>
    </row>
    <row r="197" spans="17:31">
      <c r="Q197" s="10">
        <v>51</v>
      </c>
      <c r="R197" s="10">
        <v>0.67506027627086118</v>
      </c>
      <c r="S197" s="10">
        <v>6.8465373446531586E-2</v>
      </c>
      <c r="AC197" s="10">
        <v>51</v>
      </c>
      <c r="AD197" s="10">
        <v>0.73187258156792068</v>
      </c>
      <c r="AE197" s="10">
        <v>-6.3165165568719317E-2</v>
      </c>
    </row>
    <row r="198" spans="17:31">
      <c r="Q198" s="10">
        <v>52</v>
      </c>
      <c r="R198" s="10">
        <v>0.65951481017504088</v>
      </c>
      <c r="S198" s="10">
        <v>-1.1088183194287504E-2</v>
      </c>
      <c r="AC198" s="10">
        <v>52</v>
      </c>
      <c r="AD198" s="10">
        <v>0.74232150437938549</v>
      </c>
      <c r="AE198" s="10">
        <v>1.8955652392287914E-2</v>
      </c>
    </row>
    <row r="199" spans="17:31">
      <c r="Q199" s="10">
        <v>53</v>
      </c>
      <c r="R199" s="10">
        <v>0.64391505216641842</v>
      </c>
      <c r="S199" s="10">
        <v>5.9702249939032725E-2</v>
      </c>
      <c r="AC199" s="10">
        <v>53</v>
      </c>
      <c r="AD199" s="10">
        <v>0.753664623734839</v>
      </c>
      <c r="AE199" s="10">
        <v>-4.308549923296745E-2</v>
      </c>
    </row>
    <row r="200" spans="17:31">
      <c r="Q200" s="10">
        <v>54</v>
      </c>
      <c r="R200" s="10">
        <v>0.65880893721200695</v>
      </c>
      <c r="S200" s="10">
        <v>0.13006515382337724</v>
      </c>
      <c r="AC200" s="10">
        <v>54</v>
      </c>
      <c r="AD200" s="10">
        <v>0.74236375032259239</v>
      </c>
      <c r="AE200" s="10">
        <v>-0.12780889638919757</v>
      </c>
    </row>
    <row r="201" spans="17:31">
      <c r="Q201" s="10">
        <v>55</v>
      </c>
      <c r="R201" s="10">
        <v>0.6520834927682333</v>
      </c>
      <c r="S201" s="10">
        <v>-3.1948720014557841E-2</v>
      </c>
      <c r="AC201" s="10">
        <v>55</v>
      </c>
      <c r="AD201" s="10">
        <v>0.74945403022405899</v>
      </c>
      <c r="AE201" s="10">
        <v>3.5041262063758016E-2</v>
      </c>
    </row>
    <row r="202" spans="17:31">
      <c r="Q202" s="10">
        <v>56</v>
      </c>
      <c r="R202" s="10">
        <v>0.64234043050194467</v>
      </c>
      <c r="S202" s="10">
        <v>7.1575416470072151E-2</v>
      </c>
      <c r="AC202" s="10">
        <v>56</v>
      </c>
      <c r="AD202" s="10">
        <v>0.7564317052532189</v>
      </c>
      <c r="AE202" s="10">
        <v>-5.6200198219846564E-2</v>
      </c>
    </row>
    <row r="203" spans="17:31">
      <c r="Q203" s="10">
        <v>57</v>
      </c>
      <c r="R203" s="10">
        <v>0.64814283433147624</v>
      </c>
      <c r="S203" s="10">
        <v>2.2148683906678568E-2</v>
      </c>
      <c r="AC203" s="10">
        <v>57</v>
      </c>
      <c r="AD203" s="10">
        <v>0.75296045747091389</v>
      </c>
      <c r="AE203" s="10">
        <v>-1.0862565964685822E-2</v>
      </c>
    </row>
    <row r="204" spans="17:31">
      <c r="Q204" s="10">
        <v>58</v>
      </c>
      <c r="R204" s="10">
        <v>0.64885650032835163</v>
      </c>
      <c r="S204" s="10">
        <v>0.16812893877817725</v>
      </c>
      <c r="AC204" s="10">
        <v>58</v>
      </c>
      <c r="AD204" s="10">
        <v>0.75076367881482065</v>
      </c>
      <c r="AE204" s="10">
        <v>-0.17410538113073104</v>
      </c>
    </row>
    <row r="205" spans="17:31">
      <c r="Q205" s="10">
        <v>59</v>
      </c>
      <c r="R205" s="10">
        <v>0.6397185202333342</v>
      </c>
      <c r="S205" s="10">
        <v>-5.0458250660784354E-2</v>
      </c>
      <c r="AC205" s="10">
        <v>59</v>
      </c>
      <c r="AD205" s="10">
        <v>0.75733296827586449</v>
      </c>
      <c r="AE205" s="10">
        <v>5.061030615822959E-2</v>
      </c>
    </row>
    <row r="206" spans="17:31">
      <c r="Q206" s="10">
        <v>60</v>
      </c>
      <c r="R206" s="10">
        <v>0.64809633545251577</v>
      </c>
      <c r="S206" s="10">
        <v>-0.14926022921453841</v>
      </c>
      <c r="AC206" s="10">
        <v>60</v>
      </c>
      <c r="AD206" s="10">
        <v>0.75170012130201613</v>
      </c>
      <c r="AE206" s="10">
        <v>0.11499621485807943</v>
      </c>
    </row>
    <row r="207" spans="17:31">
      <c r="Q207" s="10">
        <v>61</v>
      </c>
      <c r="R207" s="10">
        <v>0.64798775162691158</v>
      </c>
      <c r="S207" s="10">
        <v>-4.2537108644333022E-2</v>
      </c>
      <c r="AC207" s="10">
        <v>61</v>
      </c>
      <c r="AD207" s="10">
        <v>0.75348851438999354</v>
      </c>
      <c r="AE207" s="10">
        <v>4.2394340628244764E-2</v>
      </c>
    </row>
    <row r="208" spans="17:31" ht="13.5" thickBot="1">
      <c r="Q208" s="11">
        <v>62</v>
      </c>
      <c r="R208" s="11">
        <v>0.65308428249340933</v>
      </c>
      <c r="S208" s="11">
        <v>9.0100028443806934E-3</v>
      </c>
      <c r="AC208" s="11">
        <v>62</v>
      </c>
      <c r="AD208" s="11">
        <v>0.75005951255089542</v>
      </c>
      <c r="AE208" s="11">
        <v>-6.3896484550918231E-4</v>
      </c>
    </row>
  </sheetData>
  <conditionalFormatting sqref="K60:K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5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6:S118">
    <cfRule type="colorScale" priority="3">
      <colorScale>
        <cfvo type="min"/>
        <cfvo type="percentile" val="50"/>
        <cfvo type="max"/>
        <color rgb="FFFF0000"/>
        <color rgb="FF00B050"/>
        <color rgb="FFFF0000"/>
      </colorScale>
    </cfRule>
  </conditionalFormatting>
  <conditionalFormatting sqref="K2:K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6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E69B-5FC7-47B3-BD1B-CB43A0BED171}">
  <dimension ref="A1:AH115"/>
  <sheetViews>
    <sheetView zoomScale="70" zoomScaleNormal="70" workbookViewId="0">
      <selection activeCell="I85" sqref="H85:I85"/>
    </sheetView>
  </sheetViews>
  <sheetFormatPr defaultRowHeight="12.75"/>
  <cols>
    <col min="3" max="3" width="11.42578125" customWidth="1"/>
    <col min="7" max="7" width="12.28515625" customWidth="1"/>
    <col min="8" max="8" width="13.28515625" customWidth="1"/>
    <col min="9" max="9" width="13.42578125" customWidth="1"/>
    <col min="10" max="10" width="15" customWidth="1"/>
    <col min="11" max="11" width="16.5703125" customWidth="1"/>
    <col min="12" max="12" width="11" customWidth="1"/>
    <col min="13" max="15" width="12.42578125" customWidth="1"/>
  </cols>
  <sheetData>
    <row r="1" spans="1:15" ht="27.75" customHeight="1">
      <c r="A1" s="29" t="s">
        <v>72</v>
      </c>
      <c r="B1" s="29" t="s">
        <v>1</v>
      </c>
      <c r="C1" s="30" t="s">
        <v>2</v>
      </c>
      <c r="D1" s="31" t="s">
        <v>3</v>
      </c>
      <c r="E1" s="31" t="s">
        <v>4</v>
      </c>
      <c r="F1" s="31" t="s">
        <v>5</v>
      </c>
      <c r="G1" s="30" t="s">
        <v>6</v>
      </c>
      <c r="H1" s="29" t="s">
        <v>80</v>
      </c>
      <c r="I1" s="29" t="s">
        <v>81</v>
      </c>
      <c r="J1" s="29" t="s">
        <v>109</v>
      </c>
      <c r="K1" s="29" t="s">
        <v>110</v>
      </c>
      <c r="L1" s="29" t="s">
        <v>115</v>
      </c>
      <c r="M1" s="29" t="s">
        <v>116</v>
      </c>
      <c r="N1" s="29" t="s">
        <v>119</v>
      </c>
      <c r="O1" s="29"/>
    </row>
    <row r="2" spans="1:15">
      <c r="A2">
        <v>2</v>
      </c>
      <c r="B2" s="6" t="s">
        <v>24</v>
      </c>
      <c r="C2" s="16">
        <v>99.8</v>
      </c>
      <c r="D2" s="16">
        <v>37</v>
      </c>
      <c r="E2" s="16">
        <v>28</v>
      </c>
      <c r="F2" s="16">
        <v>32</v>
      </c>
      <c r="G2" s="16">
        <v>97</v>
      </c>
      <c r="H2">
        <v>52.658520831090534</v>
      </c>
      <c r="I2">
        <v>158.95736893099365</v>
      </c>
      <c r="J2">
        <v>106.29884809990313</v>
      </c>
      <c r="K2">
        <v>112.85983421250944</v>
      </c>
      <c r="L2">
        <f>COS(RADIANS(Table5[[#This Row],[scaled (max-min)]]))</f>
        <v>-0.28064741250719466</v>
      </c>
      <c r="M2">
        <f>COS(RADIANS(Table5[[#This Row],[scaled(fingmax-min)]]))</f>
        <v>-0.38847808035975279</v>
      </c>
      <c r="N2">
        <f>SIN(RADIANS(180-Table5[[#This Row],[scaled (max-min)]]))</f>
        <v>0.95981093443084742</v>
      </c>
    </row>
    <row r="3" spans="1:15">
      <c r="A3">
        <v>2</v>
      </c>
      <c r="B3" s="6" t="s">
        <v>22</v>
      </c>
      <c r="C3" s="15">
        <v>96.4</v>
      </c>
      <c r="D3" s="15">
        <v>37</v>
      </c>
      <c r="E3" s="15">
        <v>33</v>
      </c>
      <c r="F3" s="15">
        <v>29</v>
      </c>
      <c r="G3" s="15">
        <v>99</v>
      </c>
      <c r="H3">
        <v>43.383571966842503</v>
      </c>
      <c r="I3">
        <v>152.55517278501455</v>
      </c>
      <c r="J3">
        <v>109.17160081817204</v>
      </c>
      <c r="K3">
        <v>122.13478307675746</v>
      </c>
      <c r="L3">
        <f>COS(RADIANS(Table5[[#This Row],[scaled (max-min)]]))</f>
        <v>-0.32839851749769239</v>
      </c>
      <c r="M3">
        <f>COS(RADIANS(Table5[[#This Row],[scaled(fingmax-min)]]))</f>
        <v>-0.53191275167398644</v>
      </c>
      <c r="N3">
        <f>SIN(RADIANS(180-Table5[[#This Row],[scaled (max-min)]]))</f>
        <v>0.94453926001268884</v>
      </c>
    </row>
    <row r="4" spans="1:15">
      <c r="A4">
        <v>2</v>
      </c>
      <c r="B4" s="6" t="s">
        <v>34</v>
      </c>
      <c r="C4" s="4">
        <v>100</v>
      </c>
      <c r="D4" s="4">
        <v>36</v>
      </c>
      <c r="E4" s="4">
        <v>28</v>
      </c>
      <c r="F4" s="4">
        <v>37</v>
      </c>
      <c r="G4" s="4">
        <v>101</v>
      </c>
      <c r="H4">
        <v>51.598126816664873</v>
      </c>
      <c r="I4">
        <v>161.44956400043063</v>
      </c>
      <c r="J4">
        <v>109.85143718376575</v>
      </c>
      <c r="K4">
        <v>113.92022822693509</v>
      </c>
      <c r="L4">
        <f>COS(RADIANS(Table5[[#This Row],[scaled (max-min)]]))</f>
        <v>-0.33958245765915346</v>
      </c>
      <c r="M4">
        <f>COS(RADIANS(Table5[[#This Row],[scaled(fingmax-min)]]))</f>
        <v>-0.40546433811660287</v>
      </c>
      <c r="N4">
        <f>SIN(RADIANS(180-Table5[[#This Row],[scaled (max-min)]]))</f>
        <v>0.94057628847965813</v>
      </c>
    </row>
    <row r="5" spans="1:15">
      <c r="A5">
        <v>2</v>
      </c>
      <c r="B5" s="6" t="s">
        <v>30</v>
      </c>
      <c r="C5" s="4">
        <v>101.2</v>
      </c>
      <c r="D5" s="4">
        <v>37</v>
      </c>
      <c r="E5" s="4">
        <v>32</v>
      </c>
      <c r="F5" s="4">
        <v>33</v>
      </c>
      <c r="G5" s="4">
        <v>102</v>
      </c>
      <c r="H5">
        <v>46.796210571643883</v>
      </c>
      <c r="I5">
        <v>153.26945849930024</v>
      </c>
      <c r="J5">
        <v>106.47324792765636</v>
      </c>
      <c r="K5">
        <v>118.72214447195608</v>
      </c>
      <c r="L5">
        <f>COS(RADIANS(Table5[[#This Row],[scaled (max-min)]]))</f>
        <v>-0.28356762956687109</v>
      </c>
      <c r="M5">
        <f>COS(RADIANS(Table5[[#This Row],[scaled(fingmax-min)]]))</f>
        <v>-0.48056247325012613</v>
      </c>
      <c r="N5">
        <f>SIN(RADIANS(180-Table5[[#This Row],[scaled (max-min)]]))</f>
        <v>0.95895224044882743</v>
      </c>
    </row>
    <row r="6" spans="1:15">
      <c r="A6">
        <v>2</v>
      </c>
      <c r="B6" s="6" t="s">
        <v>38</v>
      </c>
      <c r="C6" s="4">
        <v>104</v>
      </c>
      <c r="D6" s="4">
        <v>39</v>
      </c>
      <c r="E6" s="4">
        <v>26</v>
      </c>
      <c r="F6" s="4">
        <v>39</v>
      </c>
      <c r="G6" s="4">
        <v>104</v>
      </c>
      <c r="H6">
        <v>49.923027236516312</v>
      </c>
      <c r="I6">
        <v>165.6060932285499</v>
      </c>
      <c r="J6">
        <v>115.68306599203359</v>
      </c>
      <c r="K6">
        <v>115.59532780708366</v>
      </c>
      <c r="L6">
        <f>COS(RADIANS(Table5[[#This Row],[scaled (max-min)]]))</f>
        <v>-0.43339274855758142</v>
      </c>
      <c r="M6">
        <f>COS(RADIANS(Table5[[#This Row],[scaled(fingmax-min)]]))</f>
        <v>-0.43201220729711209</v>
      </c>
      <c r="N6">
        <f>SIN(RADIANS(180-Table5[[#This Row],[scaled (max-min)]]))</f>
        <v>0.90120515172612325</v>
      </c>
    </row>
    <row r="7" spans="1:15">
      <c r="A7">
        <v>2</v>
      </c>
      <c r="B7" s="6" t="s">
        <v>32</v>
      </c>
      <c r="C7" s="4">
        <v>104.1</v>
      </c>
      <c r="D7" s="4">
        <v>35</v>
      </c>
      <c r="E7" s="4">
        <v>33</v>
      </c>
      <c r="F7" s="4">
        <v>38</v>
      </c>
      <c r="G7" s="4">
        <v>106</v>
      </c>
      <c r="H7">
        <v>58.100979653353434</v>
      </c>
      <c r="I7">
        <v>159.70448918075141</v>
      </c>
      <c r="J7">
        <v>101.60350952739797</v>
      </c>
      <c r="K7">
        <v>107.41737539024653</v>
      </c>
      <c r="L7">
        <f>COS(RADIANS(Table5[[#This Row],[scaled (max-min)]]))</f>
        <v>-0.20113792250367735</v>
      </c>
      <c r="M7">
        <f>COS(RADIANS(Table5[[#This Row],[scaled(fingmax-min)]]))</f>
        <v>-0.29933015929372103</v>
      </c>
      <c r="N7">
        <f>SIN(RADIANS(180-Table5[[#This Row],[scaled (max-min)]]))</f>
        <v>0.97956293117436033</v>
      </c>
    </row>
    <row r="8" spans="1:15">
      <c r="A8">
        <v>2</v>
      </c>
      <c r="B8" s="6" t="s">
        <v>16</v>
      </c>
      <c r="C8" s="16">
        <v>102.9</v>
      </c>
      <c r="D8" s="16">
        <v>40</v>
      </c>
      <c r="E8" s="16">
        <v>31</v>
      </c>
      <c r="F8" s="16">
        <v>36</v>
      </c>
      <c r="G8" s="16">
        <v>107</v>
      </c>
      <c r="H8">
        <v>43.201636344062869</v>
      </c>
      <c r="I8">
        <v>165.64754010119498</v>
      </c>
      <c r="J8">
        <v>122.4459037571321</v>
      </c>
      <c r="K8">
        <v>122.31671869953709</v>
      </c>
      <c r="L8">
        <f>COS(RADIANS(Table5[[#This Row],[scaled (max-min)]]))</f>
        <v>-0.53650307457970292</v>
      </c>
      <c r="M8">
        <f>COS(RADIANS(Table5[[#This Row],[scaled(fingmax-min)]]))</f>
        <v>-0.53459897095833053</v>
      </c>
      <c r="N8">
        <f>SIN(RADIANS(180-Table5[[#This Row],[scaled (max-min)]]))</f>
        <v>0.84389836530622919</v>
      </c>
    </row>
    <row r="9" spans="1:15">
      <c r="A9">
        <v>2</v>
      </c>
      <c r="B9" s="6" t="s">
        <v>101</v>
      </c>
      <c r="C9" s="4">
        <v>104.4</v>
      </c>
      <c r="D9" s="4">
        <v>35</v>
      </c>
      <c r="E9" s="4">
        <v>34</v>
      </c>
      <c r="F9" s="4">
        <v>38</v>
      </c>
      <c r="G9" s="4">
        <v>107</v>
      </c>
      <c r="H9">
        <v>52.754871353213481</v>
      </c>
      <c r="I9">
        <v>162.24835827322642</v>
      </c>
      <c r="J9">
        <v>109.49348692001294</v>
      </c>
      <c r="K9">
        <v>112.76348369038649</v>
      </c>
      <c r="L9">
        <f>COS(RADIANS(Table5[[#This Row],[scaled (max-min)]]))</f>
        <v>-0.33369970259779808</v>
      </c>
      <c r="M9">
        <f>COS(RADIANS(Table5[[#This Row],[scaled(fingmax-min)]]))</f>
        <v>-0.38692797690068453</v>
      </c>
      <c r="N9">
        <f>SIN(RADIANS(180-Table5[[#This Row],[scaled (max-min)]]))</f>
        <v>0.94267943039303725</v>
      </c>
    </row>
    <row r="10" spans="1:15">
      <c r="A10">
        <v>2</v>
      </c>
      <c r="B10" s="6" t="s">
        <v>14</v>
      </c>
      <c r="C10" s="4">
        <v>103.6</v>
      </c>
      <c r="D10" s="4">
        <v>38</v>
      </c>
      <c r="E10" s="4">
        <v>35</v>
      </c>
      <c r="F10" s="4">
        <v>35</v>
      </c>
      <c r="G10" s="4">
        <v>108</v>
      </c>
      <c r="H10">
        <v>47.498116051243407</v>
      </c>
      <c r="I10">
        <v>157.00344493486921</v>
      </c>
      <c r="J10">
        <v>109.50532888362579</v>
      </c>
      <c r="K10">
        <v>118.02023899235655</v>
      </c>
      <c r="L10">
        <f>COS(RADIANS(Table5[[#This Row],[scaled (max-min)]]))</f>
        <v>-0.33389452963674732</v>
      </c>
      <c r="M10">
        <f>COS(RADIANS(Table5[[#This Row],[scaled(fingmax-min)]]))</f>
        <v>-0.4697834232963719</v>
      </c>
      <c r="N10">
        <f>SIN(RADIANS(180-Table5[[#This Row],[scaled (max-min)]]))</f>
        <v>0.94261044078593526</v>
      </c>
    </row>
    <row r="11" spans="1:15">
      <c r="A11">
        <v>2</v>
      </c>
      <c r="B11" s="6" t="s">
        <v>18</v>
      </c>
      <c r="C11" s="16">
        <v>104.2</v>
      </c>
      <c r="D11" s="16">
        <v>40</v>
      </c>
      <c r="E11" s="16">
        <v>34</v>
      </c>
      <c r="F11" s="16">
        <v>35</v>
      </c>
      <c r="G11" s="16">
        <v>109</v>
      </c>
      <c r="H11">
        <v>44.463882010980726</v>
      </c>
      <c r="I11">
        <v>154.16514156529229</v>
      </c>
      <c r="J11">
        <v>109.70125955431156</v>
      </c>
      <c r="K11">
        <v>121.05447303261924</v>
      </c>
      <c r="L11">
        <f>COS(RADIANS(Table5[[#This Row],[scaled (max-min)]]))</f>
        <v>-0.3371159550368108</v>
      </c>
      <c r="M11">
        <f>COS(RADIANS(Table5[[#This Row],[scaled(fingmax-min)]]))</f>
        <v>-0.51585277991888334</v>
      </c>
      <c r="N11">
        <f>SIN(RADIANS(180-Table5[[#This Row],[scaled (max-min)]]))</f>
        <v>0.9414631340948082</v>
      </c>
    </row>
    <row r="12" spans="1:15">
      <c r="A12">
        <v>2</v>
      </c>
      <c r="B12" s="6" t="s">
        <v>28</v>
      </c>
      <c r="C12" s="9">
        <v>111.1</v>
      </c>
      <c r="D12" s="9">
        <v>49</v>
      </c>
      <c r="E12" s="9">
        <v>25</v>
      </c>
      <c r="F12" s="9">
        <v>37</v>
      </c>
      <c r="G12" s="9">
        <v>111</v>
      </c>
      <c r="H12">
        <v>49.573689309936483</v>
      </c>
      <c r="I12">
        <v>153.36527075034988</v>
      </c>
      <c r="J12">
        <v>103.7915814404134</v>
      </c>
      <c r="K12">
        <v>115.94466573366348</v>
      </c>
      <c r="L12">
        <f>COS(RADIANS(Table5[[#This Row],[scaled (max-min)]]))</f>
        <v>-0.2383907647071456</v>
      </c>
      <c r="M12">
        <f>COS(RADIANS(Table5[[#This Row],[scaled(fingmax-min)]]))</f>
        <v>-0.43750291853410772</v>
      </c>
      <c r="N12">
        <f>SIN(RADIANS(180-Table5[[#This Row],[scaled (max-min)]]))</f>
        <v>0.97116931752518953</v>
      </c>
    </row>
    <row r="13" spans="1:15">
      <c r="A13">
        <v>2</v>
      </c>
      <c r="B13" s="6" t="s">
        <v>36</v>
      </c>
      <c r="C13" s="4">
        <v>109.1</v>
      </c>
      <c r="D13" s="4">
        <v>43</v>
      </c>
      <c r="E13" s="4">
        <v>29</v>
      </c>
      <c r="F13" s="4">
        <v>41</v>
      </c>
      <c r="G13" s="4">
        <v>113</v>
      </c>
      <c r="H13">
        <v>51.486704704489185</v>
      </c>
      <c r="I13">
        <v>165.59263645171708</v>
      </c>
      <c r="J13">
        <v>114.1059317472279</v>
      </c>
      <c r="K13">
        <v>114.03165033911078</v>
      </c>
      <c r="L13">
        <f>COS(RADIANS(Table5[[#This Row],[scaled (max-min)]]))</f>
        <v>-0.40842496256388056</v>
      </c>
      <c r="M13">
        <f>COS(RADIANS(Table5[[#This Row],[scaled(fingmax-min)]]))</f>
        <v>-0.40724122590311923</v>
      </c>
      <c r="N13">
        <f>SIN(RADIANS(180-Table5[[#This Row],[scaled (max-min)]]))</f>
        <v>0.91279189849313014</v>
      </c>
    </row>
    <row r="14" spans="1:15">
      <c r="A14">
        <v>2</v>
      </c>
      <c r="B14" t="s">
        <v>90</v>
      </c>
      <c r="C14" s="15">
        <v>105.2</v>
      </c>
      <c r="D14" s="15">
        <v>40</v>
      </c>
      <c r="E14" s="15">
        <v>31</v>
      </c>
      <c r="F14" s="15">
        <v>42</v>
      </c>
      <c r="G14" s="15">
        <v>113</v>
      </c>
      <c r="H14">
        <v>56.926472171385505</v>
      </c>
      <c r="I14">
        <v>160.28905156636881</v>
      </c>
      <c r="J14">
        <v>103.3625793949833</v>
      </c>
      <c r="K14">
        <v>108.59188287221446</v>
      </c>
      <c r="L14">
        <f>COS(RADIANS(Table5[[#This Row],[scaled (max-min)]]))</f>
        <v>-0.23111252176840905</v>
      </c>
      <c r="M14">
        <f>COS(RADIANS(Table5[[#This Row],[scaled(fingmax-min)]]))</f>
        <v>-0.31882503517299871</v>
      </c>
      <c r="N14">
        <f>SIN(RADIANS(180-Table5[[#This Row],[scaled (max-min)]]))</f>
        <v>0.97292702824099131</v>
      </c>
    </row>
    <row r="15" spans="1:15">
      <c r="A15">
        <v>2</v>
      </c>
      <c r="B15" t="s">
        <v>89</v>
      </c>
      <c r="C15" s="15">
        <v>98.9</v>
      </c>
      <c r="D15" s="15">
        <v>38</v>
      </c>
      <c r="E15" s="15">
        <v>33</v>
      </c>
      <c r="F15" s="15">
        <v>46</v>
      </c>
      <c r="G15" s="15">
        <v>117</v>
      </c>
      <c r="H15">
        <v>43.307675745505442</v>
      </c>
      <c r="I15">
        <v>153.0702982021746</v>
      </c>
      <c r="J15">
        <v>109.76262245666916</v>
      </c>
      <c r="K15">
        <v>122.21067929809453</v>
      </c>
      <c r="L15">
        <f>COS(RADIANS(Table5[[#This Row],[scaled (max-min)]]))</f>
        <v>-0.33812405410453861</v>
      </c>
      <c r="M15">
        <f>COS(RADIANS(Table5[[#This Row],[scaled(fingmax-min)]]))</f>
        <v>-0.53303398783842471</v>
      </c>
      <c r="N15">
        <f>SIN(RADIANS(180-Table5[[#This Row],[scaled (max-min)]]))</f>
        <v>0.94110154820609615</v>
      </c>
    </row>
    <row r="16" spans="1:15">
      <c r="A16">
        <v>2</v>
      </c>
      <c r="B16" s="6" t="s">
        <v>20</v>
      </c>
      <c r="C16" s="16">
        <v>110.8</v>
      </c>
      <c r="D16" s="16">
        <v>48</v>
      </c>
      <c r="E16" s="16">
        <v>33</v>
      </c>
      <c r="F16" s="16">
        <v>36</v>
      </c>
      <c r="G16" s="16">
        <v>117</v>
      </c>
      <c r="H16">
        <v>50.165249219506947</v>
      </c>
      <c r="I16">
        <v>165.52373775433307</v>
      </c>
      <c r="J16">
        <v>115.35848853482612</v>
      </c>
      <c r="K16">
        <v>115.35310582409302</v>
      </c>
      <c r="L16">
        <f>COS(RADIANS(Table5[[#This Row],[scaled (max-min)]]))</f>
        <v>-0.42828054385367809</v>
      </c>
      <c r="M16">
        <f>COS(RADIANS(Table5[[#This Row],[scaled(fingmax-min)]]))</f>
        <v>-0.42819564803065463</v>
      </c>
      <c r="N16">
        <f>SIN(RADIANS(180-Table5[[#This Row],[scaled (max-min)]]))</f>
        <v>0.90364582428980311</v>
      </c>
    </row>
    <row r="17" spans="1:33">
      <c r="A17">
        <v>2</v>
      </c>
      <c r="B17" s="6" t="s">
        <v>26</v>
      </c>
      <c r="C17" s="16">
        <v>114.9</v>
      </c>
      <c r="D17" s="16">
        <v>42</v>
      </c>
      <c r="E17" s="16">
        <v>34</v>
      </c>
      <c r="F17" s="16">
        <v>45</v>
      </c>
      <c r="G17" s="16">
        <v>121</v>
      </c>
      <c r="H17">
        <v>43.341586823124132</v>
      </c>
      <c r="I17">
        <v>155.40101194961784</v>
      </c>
      <c r="J17">
        <v>112.05942512649371</v>
      </c>
      <c r="K17">
        <v>122.17676822047584</v>
      </c>
      <c r="L17">
        <f>COS(RADIANS(Table5[[#This Row],[scaled (max-min)]]))</f>
        <v>-0.37556803358224494</v>
      </c>
      <c r="M17">
        <f>COS(RADIANS(Table5[[#This Row],[scaled(fingmax-min)]]))</f>
        <v>-0.53253312544957809</v>
      </c>
      <c r="N17">
        <f>SIN(RADIANS(180-Table5[[#This Row],[scaled (max-min)]]))</f>
        <v>0.92679482743008745</v>
      </c>
    </row>
    <row r="18" spans="1:33">
      <c r="A18">
        <v>3</v>
      </c>
      <c r="B18" s="6" t="s">
        <v>24</v>
      </c>
      <c r="C18" s="16">
        <v>109.2</v>
      </c>
      <c r="D18" s="16">
        <v>35</v>
      </c>
      <c r="E18" s="16">
        <v>34</v>
      </c>
      <c r="F18" s="16">
        <v>36</v>
      </c>
      <c r="G18" s="16">
        <v>105</v>
      </c>
      <c r="H18">
        <v>41.323070298202175</v>
      </c>
      <c r="I18">
        <v>161.79621057164388</v>
      </c>
      <c r="J18">
        <v>120.47314027344171</v>
      </c>
      <c r="K18">
        <v>120.58886855420391</v>
      </c>
      <c r="L18">
        <f>COS(RADIANS(Table5[[#This Row],[scaled (max-min)]]))</f>
        <v>-0.50713438349920925</v>
      </c>
      <c r="M18">
        <f>COS(RADIANS(Table5[[#This Row],[scaled(fingmax-min)]]))</f>
        <v>-0.50887418085678726</v>
      </c>
      <c r="N18">
        <f>SIN(RADIANS(180-Table5[[#This Row],[scaled (max-min)]]))</f>
        <v>0.86186699500147756</v>
      </c>
    </row>
    <row r="19" spans="1:33">
      <c r="A19">
        <v>3</v>
      </c>
      <c r="B19" s="6" t="s">
        <v>34</v>
      </c>
      <c r="C19" s="4">
        <v>112.5</v>
      </c>
      <c r="D19" s="4">
        <v>35</v>
      </c>
      <c r="E19" s="4">
        <v>35</v>
      </c>
      <c r="F19" s="4">
        <v>40</v>
      </c>
      <c r="G19" s="4">
        <v>110</v>
      </c>
      <c r="H19">
        <v>53.876628269996772</v>
      </c>
      <c r="I19">
        <v>162.2219829906341</v>
      </c>
      <c r="J19">
        <v>108.34535472063733</v>
      </c>
      <c r="K19">
        <v>108.03531058240931</v>
      </c>
      <c r="L19">
        <f>COS(RADIANS(Table5[[#This Row],[scaled (max-min)]]))</f>
        <v>-0.31474391247339351</v>
      </c>
      <c r="M19">
        <f>COS(RADIANS(Table5[[#This Row],[scaled(fingmax-min)]]))</f>
        <v>-0.30960305839799929</v>
      </c>
      <c r="N19">
        <f>SIN(RADIANS(180-Table5[[#This Row],[scaled (max-min)]]))</f>
        <v>0.94917662716743134</v>
      </c>
    </row>
    <row r="20" spans="1:33">
      <c r="A20">
        <v>3</v>
      </c>
      <c r="B20" s="6" t="s">
        <v>32</v>
      </c>
      <c r="C20" s="4">
        <v>113.5</v>
      </c>
      <c r="D20" s="4">
        <v>38</v>
      </c>
      <c r="E20" s="4">
        <v>34</v>
      </c>
      <c r="F20" s="4">
        <v>40</v>
      </c>
      <c r="G20" s="4">
        <v>112</v>
      </c>
      <c r="H20">
        <v>53.664011196038331</v>
      </c>
      <c r="I20">
        <v>162.11971148670472</v>
      </c>
      <c r="J20">
        <v>108.45570029066639</v>
      </c>
      <c r="K20">
        <v>108.24792765636775</v>
      </c>
      <c r="L20">
        <f>COS(RADIANS(Table5[[#This Row],[scaled (max-min)]]))</f>
        <v>-0.31657134074859444</v>
      </c>
      <c r="M20">
        <f>COS(RADIANS(Table5[[#This Row],[scaled(fingmax-min)]]))</f>
        <v>-0.31312945640265044</v>
      </c>
      <c r="N20">
        <f>SIN(RADIANS(180-Table5[[#This Row],[scaled (max-min)]]))</f>
        <v>0.9485687040044265</v>
      </c>
    </row>
    <row r="21" spans="1:33">
      <c r="A21">
        <v>3</v>
      </c>
      <c r="B21" s="6" t="s">
        <v>38</v>
      </c>
      <c r="C21" s="4">
        <v>112.7</v>
      </c>
      <c r="D21" s="4">
        <v>40</v>
      </c>
      <c r="E21" s="4">
        <v>32</v>
      </c>
      <c r="F21" s="4">
        <v>41</v>
      </c>
      <c r="G21" s="4">
        <v>113</v>
      </c>
      <c r="H21">
        <v>50.480137797394775</v>
      </c>
      <c r="I21">
        <v>162.22305953278072</v>
      </c>
      <c r="J21">
        <v>111.74292173538595</v>
      </c>
      <c r="K21">
        <v>111.43180105501131</v>
      </c>
      <c r="L21">
        <f>COS(RADIANS(Table5[[#This Row],[scaled (max-min)]]))</f>
        <v>-0.37044269045785599</v>
      </c>
      <c r="M21">
        <f>COS(RADIANS(Table5[[#This Row],[scaled(fingmax-min)]]))</f>
        <v>-0.36539349491903017</v>
      </c>
      <c r="N21">
        <f>SIN(RADIANS(180-Table5[[#This Row],[scaled (max-min)]]))</f>
        <v>0.9288553240878501</v>
      </c>
      <c r="P21" s="6" t="s">
        <v>109</v>
      </c>
      <c r="T21" s="6" t="s">
        <v>110</v>
      </c>
      <c r="X21" s="6" t="s">
        <v>115</v>
      </c>
      <c r="AB21" t="s">
        <v>116</v>
      </c>
      <c r="AF21" t="s">
        <v>121</v>
      </c>
    </row>
    <row r="22" spans="1:33" ht="13.5" thickBot="1">
      <c r="A22">
        <v>3</v>
      </c>
      <c r="B22" s="6" t="s">
        <v>22</v>
      </c>
      <c r="C22" s="15">
        <v>116.1</v>
      </c>
      <c r="D22" s="15">
        <v>37</v>
      </c>
      <c r="E22" s="15">
        <v>35</v>
      </c>
      <c r="F22" s="15">
        <v>42</v>
      </c>
      <c r="G22" s="15">
        <v>114</v>
      </c>
      <c r="H22">
        <v>46.008719991387665</v>
      </c>
      <c r="I22">
        <v>161.70739584454731</v>
      </c>
      <c r="J22">
        <v>115.69867585315964</v>
      </c>
      <c r="K22">
        <v>115.90321886101842</v>
      </c>
      <c r="L22">
        <f>COS(RADIANS(Table5[[#This Row],[scaled (max-min)]]))</f>
        <v>-0.43363825993106619</v>
      </c>
      <c r="M22">
        <f>COS(RADIANS(Table5[[#This Row],[scaled(fingmax-min)]]))</f>
        <v>-0.43685232458515316</v>
      </c>
      <c r="N22">
        <f>SIN(RADIANS(180-Table5[[#This Row],[scaled (max-min)]]))</f>
        <v>0.90108704325606481</v>
      </c>
    </row>
    <row r="23" spans="1:33">
      <c r="A23">
        <v>3</v>
      </c>
      <c r="B23" s="6" t="s">
        <v>36</v>
      </c>
      <c r="C23" s="4">
        <v>117.2</v>
      </c>
      <c r="D23" s="4">
        <v>39</v>
      </c>
      <c r="E23" s="4">
        <v>33</v>
      </c>
      <c r="F23" s="4">
        <v>43</v>
      </c>
      <c r="G23" s="4">
        <v>115</v>
      </c>
      <c r="H23">
        <v>46.775756270858004</v>
      </c>
      <c r="I23">
        <v>162.22144471956076</v>
      </c>
      <c r="J23">
        <v>115.44568844870275</v>
      </c>
      <c r="K23">
        <v>115.13618258154807</v>
      </c>
      <c r="L23">
        <f>COS(RADIANS(Table5[[#This Row],[scaled (max-min)]]))</f>
        <v>-0.42965532903631426</v>
      </c>
      <c r="M23">
        <f>COS(RADIANS(Table5[[#This Row],[scaled(fingmax-min)]]))</f>
        <v>-0.42477120950959185</v>
      </c>
      <c r="N23">
        <f>SIN(RADIANS(180-Table5[[#This Row],[scaled (max-min)]]))</f>
        <v>0.90299296687775843</v>
      </c>
      <c r="P23" s="13" t="s">
        <v>42</v>
      </c>
      <c r="Q23" s="13"/>
      <c r="T23" s="13" t="s">
        <v>42</v>
      </c>
      <c r="U23" s="13"/>
      <c r="X23" s="13" t="s">
        <v>42</v>
      </c>
      <c r="Y23" s="13"/>
      <c r="AB23" s="13" t="s">
        <v>42</v>
      </c>
      <c r="AC23" s="13"/>
      <c r="AF23" s="13" t="s">
        <v>42</v>
      </c>
      <c r="AG23" s="13"/>
    </row>
    <row r="24" spans="1:33">
      <c r="A24">
        <v>3</v>
      </c>
      <c r="B24" s="6" t="s">
        <v>30</v>
      </c>
      <c r="C24" s="4">
        <v>117.1</v>
      </c>
      <c r="D24" s="4">
        <v>38</v>
      </c>
      <c r="E24" s="4">
        <v>37</v>
      </c>
      <c r="F24" s="4">
        <v>41</v>
      </c>
      <c r="G24" s="4">
        <v>116</v>
      </c>
      <c r="H24">
        <v>52.135321347830775</v>
      </c>
      <c r="I24">
        <v>162.07557325869308</v>
      </c>
      <c r="J24">
        <v>109.94025191086232</v>
      </c>
      <c r="K24">
        <v>109.77661750457531</v>
      </c>
      <c r="L24">
        <f>COS(RADIANS(Table5[[#This Row],[scaled (max-min)]]))</f>
        <v>-0.34104004525189419</v>
      </c>
      <c r="M24">
        <f>COS(RADIANS(Table5[[#This Row],[scaled(fingmax-min)]]))</f>
        <v>-0.33835391716437774</v>
      </c>
      <c r="N24">
        <f>SIN(RADIANS(180-Table5[[#This Row],[scaled (max-min)]]))</f>
        <v>0.94004876870010623</v>
      </c>
      <c r="P24" s="10" t="s">
        <v>43</v>
      </c>
      <c r="Q24" s="10">
        <v>0.54442581869225937</v>
      </c>
      <c r="T24" s="10" t="s">
        <v>43</v>
      </c>
      <c r="U24" s="10">
        <v>0.35330057566001294</v>
      </c>
      <c r="X24" s="10" t="s">
        <v>43</v>
      </c>
      <c r="Y24" s="10">
        <v>0.55151591465516048</v>
      </c>
      <c r="AB24" s="10" t="s">
        <v>43</v>
      </c>
      <c r="AC24" s="10">
        <v>0.36321357872628152</v>
      </c>
      <c r="AF24" s="10" t="s">
        <v>43</v>
      </c>
      <c r="AG24" s="10">
        <v>0.39692812048068488</v>
      </c>
    </row>
    <row r="25" spans="1:33">
      <c r="A25">
        <v>3</v>
      </c>
      <c r="B25" s="6" t="s">
        <v>101</v>
      </c>
      <c r="C25" s="4">
        <v>119.7</v>
      </c>
      <c r="D25" s="4">
        <v>40</v>
      </c>
      <c r="E25" s="4">
        <v>39</v>
      </c>
      <c r="F25" s="4">
        <v>38</v>
      </c>
      <c r="G25" s="4">
        <v>117</v>
      </c>
      <c r="H25">
        <v>45.964043492302721</v>
      </c>
      <c r="I25">
        <v>162.22628915922058</v>
      </c>
      <c r="J25">
        <v>116.26224566691786</v>
      </c>
      <c r="K25">
        <v>115.94789536010336</v>
      </c>
      <c r="L25">
        <f>COS(RADIANS(Table5[[#This Row],[scaled (max-min)]]))</f>
        <v>-0.44248036622173886</v>
      </c>
      <c r="M25">
        <f>COS(RADIANS(Table5[[#This Row],[scaled(fingmax-min)]]))</f>
        <v>-0.43755360455615699</v>
      </c>
      <c r="N25">
        <f>SIN(RADIANS(180-Table5[[#This Row],[scaled (max-min)]]))</f>
        <v>0.89677819192277186</v>
      </c>
      <c r="P25" s="10" t="s">
        <v>44</v>
      </c>
      <c r="Q25" s="10">
        <v>0.29639947205873685</v>
      </c>
      <c r="T25" s="10" t="s">
        <v>44</v>
      </c>
      <c r="U25" s="10">
        <v>0.12482129676169651</v>
      </c>
      <c r="X25" s="10" t="s">
        <v>44</v>
      </c>
      <c r="Y25" s="10">
        <v>0.30416980411791822</v>
      </c>
      <c r="AB25" s="10" t="s">
        <v>44</v>
      </c>
      <c r="AC25" s="10">
        <v>0.13192410377115268</v>
      </c>
      <c r="AF25" s="10" t="s">
        <v>44</v>
      </c>
      <c r="AG25" s="10">
        <v>0.15755193282832908</v>
      </c>
    </row>
    <row r="26" spans="1:33">
      <c r="A26">
        <v>3</v>
      </c>
      <c r="B26" t="s">
        <v>89</v>
      </c>
      <c r="C26" s="15">
        <v>112</v>
      </c>
      <c r="D26" s="15">
        <v>35</v>
      </c>
      <c r="E26" s="15">
        <v>36</v>
      </c>
      <c r="F26" s="15">
        <v>47</v>
      </c>
      <c r="G26" s="15">
        <v>118</v>
      </c>
      <c r="H26">
        <v>29.62966950156099</v>
      </c>
      <c r="I26">
        <v>162.19130153945528</v>
      </c>
      <c r="J26">
        <v>132.5616320378943</v>
      </c>
      <c r="K26">
        <v>132.2822693508451</v>
      </c>
      <c r="L26">
        <f>COS(RADIANS(Table5[[#This Row],[scaled (max-min)]]))</f>
        <v>-0.6763828925527019</v>
      </c>
      <c r="M26">
        <f>COS(RADIANS(Table5[[#This Row],[scaled(fingmax-min)]]))</f>
        <v>-0.67278359637616048</v>
      </c>
      <c r="N26">
        <f>SIN(RADIANS(180-Table5[[#This Row],[scaled (max-min)]]))</f>
        <v>0.73655019018532619</v>
      </c>
      <c r="P26" s="10" t="s">
        <v>45</v>
      </c>
      <c r="Q26" s="10">
        <v>0.2606231740278252</v>
      </c>
      <c r="T26" s="10" t="s">
        <v>45</v>
      </c>
      <c r="U26" s="10">
        <v>8.0320684732630238E-2</v>
      </c>
      <c r="X26" s="10" t="s">
        <v>45</v>
      </c>
      <c r="Y26" s="10">
        <v>0.26878860771713436</v>
      </c>
      <c r="AB26" s="10" t="s">
        <v>45</v>
      </c>
      <c r="AC26" s="10">
        <v>8.7784651420533349E-2</v>
      </c>
      <c r="AF26" s="10" t="s">
        <v>45</v>
      </c>
      <c r="AG26" s="10">
        <v>0.11471559042976955</v>
      </c>
    </row>
    <row r="27" spans="1:33">
      <c r="A27">
        <v>3</v>
      </c>
      <c r="B27" s="6" t="s">
        <v>28</v>
      </c>
      <c r="C27" s="9">
        <v>123.5</v>
      </c>
      <c r="D27" s="9">
        <v>46</v>
      </c>
      <c r="E27" s="9">
        <v>37</v>
      </c>
      <c r="F27" s="9">
        <v>37</v>
      </c>
      <c r="G27" s="9">
        <v>120</v>
      </c>
      <c r="H27">
        <v>48.845946818817957</v>
      </c>
      <c r="I27">
        <v>159.97577780170096</v>
      </c>
      <c r="J27">
        <v>111.12983098288299</v>
      </c>
      <c r="K27">
        <v>113.06599203358812</v>
      </c>
      <c r="L27">
        <f>COS(RADIANS(Table5[[#This Row],[scaled (max-min)]]))</f>
        <v>-0.36048250050905106</v>
      </c>
      <c r="M27">
        <f>COS(RADIANS(Table5[[#This Row],[scaled(fingmax-min)]]))</f>
        <v>-0.39179108656840289</v>
      </c>
      <c r="N27">
        <f>SIN(RADIANS(180-Table5[[#This Row],[scaled (max-min)]]))</f>
        <v>0.93276597645215487</v>
      </c>
      <c r="P27" s="10" t="s">
        <v>46</v>
      </c>
      <c r="Q27" s="10">
        <v>8.1638704627369663</v>
      </c>
      <c r="T27" s="10" t="s">
        <v>46</v>
      </c>
      <c r="U27" s="10">
        <v>7.6059471846111943</v>
      </c>
      <c r="X27" s="10" t="s">
        <v>46</v>
      </c>
      <c r="Y27" s="10">
        <v>0.13199344726451137</v>
      </c>
      <c r="AB27" s="10" t="s">
        <v>46</v>
      </c>
      <c r="AC27" s="10">
        <v>0.12134949855735822</v>
      </c>
      <c r="AF27" s="10" t="s">
        <v>46</v>
      </c>
      <c r="AG27" s="10">
        <v>5.1496216842916533E-2</v>
      </c>
    </row>
    <row r="28" spans="1:33" ht="13.5" thickBot="1">
      <c r="A28">
        <v>3</v>
      </c>
      <c r="B28" s="6" t="s">
        <v>16</v>
      </c>
      <c r="C28" s="16">
        <v>121.5</v>
      </c>
      <c r="D28" s="16">
        <v>42</v>
      </c>
      <c r="E28" s="16">
        <v>39</v>
      </c>
      <c r="F28" s="16">
        <v>40</v>
      </c>
      <c r="G28" s="16">
        <v>121</v>
      </c>
      <c r="H28">
        <v>31.655721821509314</v>
      </c>
      <c r="I28">
        <v>162.14016578749056</v>
      </c>
      <c r="J28">
        <v>130.48444396598126</v>
      </c>
      <c r="K28">
        <v>130.25621703089678</v>
      </c>
      <c r="L28">
        <f>COS(RADIANS(Table5[[#This Row],[scaled (max-min)]]))</f>
        <v>-0.64924157112532888</v>
      </c>
      <c r="M28">
        <f>COS(RADIANS(Table5[[#This Row],[scaled(fingmax-min)]]))</f>
        <v>-0.64620679240755008</v>
      </c>
      <c r="N28">
        <f>SIN(RADIANS(180-Table5[[#This Row],[scaled (max-min)]]))</f>
        <v>0.76058226532224282</v>
      </c>
      <c r="P28" s="11" t="s">
        <v>47</v>
      </c>
      <c r="Q28" s="11">
        <v>63</v>
      </c>
      <c r="T28" s="11" t="s">
        <v>47</v>
      </c>
      <c r="U28" s="11">
        <v>63</v>
      </c>
      <c r="X28" s="11" t="s">
        <v>47</v>
      </c>
      <c r="Y28" s="11">
        <v>63</v>
      </c>
      <c r="AB28" s="11" t="s">
        <v>47</v>
      </c>
      <c r="AC28" s="11">
        <v>63</v>
      </c>
      <c r="AF28" s="11" t="s">
        <v>47</v>
      </c>
      <c r="AG28" s="11">
        <v>63</v>
      </c>
    </row>
    <row r="29" spans="1:33">
      <c r="A29">
        <v>3</v>
      </c>
      <c r="B29" s="6" t="s">
        <v>14</v>
      </c>
      <c r="C29" s="4">
        <v>120.2</v>
      </c>
      <c r="D29" s="4">
        <v>46</v>
      </c>
      <c r="E29" s="4">
        <v>33</v>
      </c>
      <c r="F29" s="4">
        <v>42</v>
      </c>
      <c r="G29" s="4">
        <v>121</v>
      </c>
      <c r="H29">
        <v>37.556249327161161</v>
      </c>
      <c r="I29">
        <v>162.12509419743785</v>
      </c>
      <c r="J29">
        <v>124.56884487027668</v>
      </c>
      <c r="K29">
        <v>124.35568952524491</v>
      </c>
      <c r="L29">
        <f>COS(RADIANS(Table5[[#This Row],[scaled (max-min)]]))</f>
        <v>-0.56739607283033</v>
      </c>
      <c r="M29">
        <f>COS(RADIANS(Table5[[#This Row],[scaled(fingmax-min)]]))</f>
        <v>-0.56432872172814363</v>
      </c>
      <c r="N29">
        <f>SIN(RADIANS(180-Table5[[#This Row],[scaled (max-min)]]))</f>
        <v>0.82344501731246078</v>
      </c>
    </row>
    <row r="30" spans="1:33">
      <c r="A30">
        <v>3</v>
      </c>
      <c r="B30" s="6" t="s">
        <v>18</v>
      </c>
      <c r="C30" s="16">
        <v>126</v>
      </c>
      <c r="D30" s="16">
        <v>41</v>
      </c>
      <c r="E30" s="16">
        <v>41</v>
      </c>
      <c r="F30" s="16">
        <v>40</v>
      </c>
      <c r="G30" s="16">
        <v>122</v>
      </c>
      <c r="H30">
        <v>42.786629346538916</v>
      </c>
      <c r="I30">
        <v>162.10840779416515</v>
      </c>
      <c r="J30">
        <v>119.32177844762623</v>
      </c>
      <c r="K30">
        <v>119.12530950586716</v>
      </c>
      <c r="L30">
        <f>COS(RADIANS(Table5[[#This Row],[scaled (max-min)]]))</f>
        <v>-0.48971389481671684</v>
      </c>
      <c r="M30">
        <f>COS(RADIANS(Table5[[#This Row],[scaled(fingmax-min)]]))</f>
        <v>-0.48672130804401204</v>
      </c>
      <c r="N30">
        <f>SIN(RADIANS(180-Table5[[#This Row],[scaled (max-min)]]))</f>
        <v>0.87188319241939838</v>
      </c>
    </row>
    <row r="31" spans="1:33">
      <c r="A31">
        <v>3</v>
      </c>
      <c r="B31" t="s">
        <v>90</v>
      </c>
      <c r="C31" s="15">
        <v>125</v>
      </c>
      <c r="D31" s="15">
        <v>39</v>
      </c>
      <c r="E31" s="15">
        <v>36</v>
      </c>
      <c r="F31" s="15">
        <v>49</v>
      </c>
      <c r="G31" s="15">
        <v>124</v>
      </c>
      <c r="H31">
        <v>52.079341156206269</v>
      </c>
      <c r="I31">
        <v>162.09818064377222</v>
      </c>
      <c r="J31">
        <v>110.01883948756596</v>
      </c>
      <c r="K31">
        <v>109.83259769619981</v>
      </c>
      <c r="L31">
        <f>COS(RADIANS(Table5[[#This Row],[scaled (max-min)]]))</f>
        <v>-0.34232910618352719</v>
      </c>
      <c r="M31">
        <f>COS(RADIANS(Table5[[#This Row],[scaled(fingmax-min)]]))</f>
        <v>-0.33927316739524288</v>
      </c>
      <c r="N31">
        <f>SIN(RADIANS(180-Table5[[#This Row],[scaled (max-min)]]))</f>
        <v>0.93958010997444352</v>
      </c>
    </row>
    <row r="32" spans="1:33">
      <c r="A32">
        <v>3</v>
      </c>
      <c r="B32" s="6" t="s">
        <v>26</v>
      </c>
      <c r="C32" s="16">
        <v>131.5</v>
      </c>
      <c r="D32" s="16">
        <v>42</v>
      </c>
      <c r="E32" s="16">
        <v>41</v>
      </c>
      <c r="F32" s="16">
        <v>49</v>
      </c>
      <c r="G32" s="16">
        <v>132</v>
      </c>
      <c r="H32">
        <v>45.47852298417483</v>
      </c>
      <c r="I32">
        <v>159.53654860587793</v>
      </c>
      <c r="J32">
        <v>114.05802562170309</v>
      </c>
      <c r="K32">
        <v>116.43341586823125</v>
      </c>
      <c r="L32">
        <f>COS(RADIANS(Table5[[#This Row],[scaled (max-min)]]))</f>
        <v>-0.40766161667129092</v>
      </c>
      <c r="M32">
        <f>COS(RADIANS(Table5[[#This Row],[scaled(fingmax-min)]]))</f>
        <v>-0.44515749779251457</v>
      </c>
      <c r="N32">
        <f>SIN(RADIANS(180-Table5[[#This Row],[scaled (max-min)]]))</f>
        <v>0.91313307151419576</v>
      </c>
    </row>
    <row r="33" spans="1:34">
      <c r="A33">
        <v>3</v>
      </c>
      <c r="B33" s="6" t="s">
        <v>20</v>
      </c>
      <c r="C33" s="16">
        <v>129</v>
      </c>
      <c r="D33" s="16">
        <v>47</v>
      </c>
      <c r="E33" s="16">
        <v>43</v>
      </c>
      <c r="F33" s="16">
        <v>43</v>
      </c>
      <c r="G33" s="16">
        <v>133</v>
      </c>
      <c r="H33">
        <v>43.898697384002581</v>
      </c>
      <c r="I33">
        <v>162.01905479599526</v>
      </c>
      <c r="J33">
        <v>118.12035741199267</v>
      </c>
      <c r="K33">
        <v>118.01324146840349</v>
      </c>
      <c r="L33">
        <f>COS(RADIANS(Table5[[#This Row],[scaled (max-min)]]))</f>
        <v>-0.47132527456855061</v>
      </c>
      <c r="M33">
        <f>COS(RADIANS(Table5[[#This Row],[scaled(fingmax-min)]]))</f>
        <v>-0.46967560581157025</v>
      </c>
      <c r="N33">
        <f>SIN(RADIANS(180-Table5[[#This Row],[scaled (max-min)]]))</f>
        <v>0.88195945799842779</v>
      </c>
    </row>
    <row r="34" spans="1:34">
      <c r="A34">
        <v>4</v>
      </c>
      <c r="B34" s="6" t="s">
        <v>24</v>
      </c>
      <c r="C34" s="16">
        <v>97.9</v>
      </c>
      <c r="D34" s="16">
        <v>34</v>
      </c>
      <c r="E34" s="16">
        <v>35</v>
      </c>
      <c r="F34" s="16">
        <v>30</v>
      </c>
      <c r="G34" s="16">
        <v>99</v>
      </c>
      <c r="H34">
        <v>59.972548175261068</v>
      </c>
      <c r="I34">
        <v>157.87867370007538</v>
      </c>
      <c r="J34">
        <v>97.906125524814314</v>
      </c>
      <c r="K34">
        <v>106.40704058563892</v>
      </c>
      <c r="L34">
        <f>COS(RADIANS(Table5[[#This Row],[scaled (max-min)]]))</f>
        <v>-0.13755044118912488</v>
      </c>
      <c r="M34">
        <f>COS(RADIANS(Table5[[#This Row],[scaled(fingmax-min)]]))</f>
        <v>-0.2824593365557963</v>
      </c>
      <c r="N34">
        <f>SIN(RADIANS(180-Table5[[#This Row],[scaled (max-min)]]))</f>
        <v>0.99049476330199604</v>
      </c>
    </row>
    <row r="35" spans="1:34" ht="13.5" thickBot="1">
      <c r="A35">
        <v>4</v>
      </c>
      <c r="B35" t="s">
        <v>89</v>
      </c>
      <c r="C35" s="15">
        <v>104.5</v>
      </c>
      <c r="D35" s="15">
        <v>44</v>
      </c>
      <c r="E35" s="15">
        <v>25</v>
      </c>
      <c r="F35" s="15">
        <v>32</v>
      </c>
      <c r="G35" s="15">
        <v>101</v>
      </c>
      <c r="H35">
        <v>35.036602432985248</v>
      </c>
      <c r="I35">
        <v>164.29109699644741</v>
      </c>
      <c r="J35">
        <v>129.25449456346217</v>
      </c>
      <c r="K35">
        <v>131.34298632791473</v>
      </c>
      <c r="L35">
        <f>COS(RADIANS(Table5[[#This Row],[scaled (max-min)]]))</f>
        <v>-0.63276607379316308</v>
      </c>
      <c r="M35">
        <f>COS(RADIANS(Table5[[#This Row],[scaled(fingmax-min)]]))</f>
        <v>-0.66056512029385273</v>
      </c>
      <c r="N35">
        <f>SIN(RADIANS(180-Table5[[#This Row],[scaled (max-min)]]))</f>
        <v>0.77434300917383192</v>
      </c>
    </row>
    <row r="36" spans="1:34">
      <c r="A36">
        <v>4</v>
      </c>
      <c r="B36" s="6" t="s">
        <v>38</v>
      </c>
      <c r="C36" s="4">
        <v>105.2</v>
      </c>
      <c r="D36" s="4">
        <v>40</v>
      </c>
      <c r="E36" s="4">
        <v>29</v>
      </c>
      <c r="F36" s="4">
        <v>35</v>
      </c>
      <c r="G36" s="4">
        <v>104</v>
      </c>
      <c r="H36">
        <v>46.867262353321138</v>
      </c>
      <c r="I36">
        <v>166.50123802346863</v>
      </c>
      <c r="J36">
        <v>119.63397567014749</v>
      </c>
      <c r="K36">
        <v>119.51232640757885</v>
      </c>
      <c r="L36">
        <f>COS(RADIANS(Table5[[#This Row],[scaled (max-min)]]))</f>
        <v>-0.49445737916964916</v>
      </c>
      <c r="M36">
        <f>COS(RADIANS(Table5[[#This Row],[scaled(fingmax-min)]]))</f>
        <v>-0.49261079389513968</v>
      </c>
      <c r="N36">
        <f>SIN(RADIANS(180-Table5[[#This Row],[scaled (max-min)]]))</f>
        <v>0.86920187539183413</v>
      </c>
      <c r="P36" s="12"/>
      <c r="Q36" s="12" t="s">
        <v>58</v>
      </c>
      <c r="R36" s="12" t="s">
        <v>46</v>
      </c>
      <c r="T36" s="12"/>
      <c r="U36" s="12" t="s">
        <v>58</v>
      </c>
      <c r="V36" s="12" t="s">
        <v>46</v>
      </c>
      <c r="X36" s="12"/>
      <c r="Y36" s="12" t="s">
        <v>58</v>
      </c>
      <c r="Z36" s="12" t="s">
        <v>46</v>
      </c>
      <c r="AB36" s="12"/>
      <c r="AC36" s="12" t="s">
        <v>58</v>
      </c>
      <c r="AD36" s="12" t="s">
        <v>46</v>
      </c>
      <c r="AF36" s="12"/>
      <c r="AG36" s="12" t="s">
        <v>58</v>
      </c>
      <c r="AH36" s="12" t="s">
        <v>46</v>
      </c>
    </row>
    <row r="37" spans="1:34">
      <c r="A37">
        <v>4</v>
      </c>
      <c r="B37" s="6" t="s">
        <v>34</v>
      </c>
      <c r="C37" s="4">
        <v>106.9</v>
      </c>
      <c r="D37" s="4">
        <v>37</v>
      </c>
      <c r="E37" s="4">
        <v>32</v>
      </c>
      <c r="F37" s="4">
        <v>37</v>
      </c>
      <c r="G37" s="4">
        <v>106</v>
      </c>
      <c r="H37">
        <v>67.057272042200452</v>
      </c>
      <c r="I37">
        <v>166.49047260200237</v>
      </c>
      <c r="J37">
        <v>99.433200559801918</v>
      </c>
      <c r="K37">
        <v>99.32231671869954</v>
      </c>
      <c r="L37">
        <f>COS(RADIANS(Table5[[#This Row],[scaled (max-min)]]))</f>
        <v>-0.16389761298856012</v>
      </c>
      <c r="M37">
        <f>COS(RADIANS(Table5[[#This Row],[scaled(fingmax-min)]]))</f>
        <v>-0.16198818935335324</v>
      </c>
      <c r="N37">
        <f>SIN(RADIANS(180-Table5[[#This Row],[scaled (max-min)]]))</f>
        <v>0.9864773552680528</v>
      </c>
      <c r="P37" s="10" t="s">
        <v>52</v>
      </c>
      <c r="Q37" s="10">
        <v>64.216913595698998</v>
      </c>
      <c r="R37" s="10">
        <v>10.386574943318591</v>
      </c>
      <c r="T37" s="10" t="s">
        <v>52</v>
      </c>
      <c r="U37" s="10">
        <v>90.309983698058048</v>
      </c>
      <c r="V37" s="10">
        <v>9.6767508510175784</v>
      </c>
      <c r="X37" s="10" t="s">
        <v>52</v>
      </c>
      <c r="Y37" s="10">
        <v>0.41641410566528392</v>
      </c>
      <c r="Z37" s="10">
        <v>0.16793013048129604</v>
      </c>
      <c r="AB37" s="10" t="s">
        <v>52</v>
      </c>
      <c r="AC37" s="10">
        <v>-1.123645815610533E-2</v>
      </c>
      <c r="AD37" s="10">
        <v>0.15438824842372337</v>
      </c>
      <c r="AF37" s="10" t="s">
        <v>52</v>
      </c>
      <c r="AG37" s="10">
        <v>1.1205742250005319</v>
      </c>
      <c r="AH37" s="10">
        <v>6.5516634294687334E-2</v>
      </c>
    </row>
    <row r="38" spans="1:34">
      <c r="A38">
        <v>4</v>
      </c>
      <c r="B38" s="6" t="s">
        <v>36</v>
      </c>
      <c r="C38" s="4">
        <v>107.2</v>
      </c>
      <c r="D38" s="4">
        <v>36</v>
      </c>
      <c r="E38" s="4">
        <v>34</v>
      </c>
      <c r="F38" s="4">
        <v>37</v>
      </c>
      <c r="G38" s="4">
        <v>107</v>
      </c>
      <c r="H38">
        <v>41.129292711809669</v>
      </c>
      <c r="I38">
        <v>166.44148993433095</v>
      </c>
      <c r="J38">
        <v>125.31219722252128</v>
      </c>
      <c r="K38">
        <v>125.25029604909032</v>
      </c>
      <c r="L38">
        <f>COS(RADIANS(Table5[[#This Row],[scaled (max-min)]]))</f>
        <v>-0.57803135203990585</v>
      </c>
      <c r="M38">
        <f>COS(RADIANS(Table5[[#This Row],[scaled(fingmax-min)]]))</f>
        <v>-0.57714940964206585</v>
      </c>
      <c r="N38">
        <f>SIN(RADIANS(180-Table5[[#This Row],[scaled (max-min)]]))</f>
        <v>0.81601455627881925</v>
      </c>
      <c r="P38" s="10" t="s">
        <v>3</v>
      </c>
      <c r="Q38" s="10">
        <v>0.59253992413607803</v>
      </c>
      <c r="R38" s="10">
        <v>0.27352640212374385</v>
      </c>
      <c r="T38" s="10" t="s">
        <v>3</v>
      </c>
      <c r="U38" s="10">
        <v>0.42086676308069854</v>
      </c>
      <c r="V38" s="10">
        <v>0.25483346136440876</v>
      </c>
      <c r="X38" s="10" t="s">
        <v>3</v>
      </c>
      <c r="Y38" s="10">
        <v>-9.7832239672964103E-3</v>
      </c>
      <c r="Z38" s="10">
        <v>4.4223745218598216E-3</v>
      </c>
      <c r="AB38" s="10" t="s">
        <v>3</v>
      </c>
      <c r="AC38" s="10">
        <v>-6.9124787563303123E-3</v>
      </c>
      <c r="AD38" s="10">
        <v>4.0657543369186193E-3</v>
      </c>
      <c r="AF38" s="10" t="s">
        <v>3</v>
      </c>
      <c r="AG38" s="10">
        <v>-2.7016269179723786E-3</v>
      </c>
      <c r="AH38" s="10">
        <v>1.7253550237377063E-3</v>
      </c>
    </row>
    <row r="39" spans="1:34">
      <c r="A39">
        <v>4</v>
      </c>
      <c r="B39" s="6" t="s">
        <v>30</v>
      </c>
      <c r="C39" s="4">
        <v>111.6</v>
      </c>
      <c r="D39" s="4">
        <v>37</v>
      </c>
      <c r="E39" s="4">
        <v>38</v>
      </c>
      <c r="F39" s="4">
        <v>32</v>
      </c>
      <c r="G39" s="4">
        <v>107</v>
      </c>
      <c r="H39">
        <v>50.814942404995158</v>
      </c>
      <c r="I39">
        <v>159.98385186780061</v>
      </c>
      <c r="J39">
        <v>109.16890946280546</v>
      </c>
      <c r="K39">
        <v>115.56464635590484</v>
      </c>
      <c r="L39">
        <f>COS(RADIANS(Table5[[#This Row],[scaled (max-min)]]))</f>
        <v>-0.32835414928095308</v>
      </c>
      <c r="M39">
        <f>COS(RADIANS(Table5[[#This Row],[scaled(fingmax-min)]]))</f>
        <v>-0.43152920210182244</v>
      </c>
      <c r="N39">
        <f>SIN(RADIANS(180-Table5[[#This Row],[scaled (max-min)]]))</f>
        <v>0.94455468483830074</v>
      </c>
      <c r="P39" s="10" t="s">
        <v>4</v>
      </c>
      <c r="Q39" s="10">
        <v>0.38172058794667618</v>
      </c>
      <c r="R39" s="10">
        <v>0.24558041316939269</v>
      </c>
      <c r="T39" s="10" t="s">
        <v>4</v>
      </c>
      <c r="U39" s="10">
        <v>0.27801030112716441</v>
      </c>
      <c r="V39" s="10">
        <v>0.22879731625667973</v>
      </c>
      <c r="X39" s="10" t="s">
        <v>4</v>
      </c>
      <c r="Y39" s="10">
        <v>-6.3224108699849509E-3</v>
      </c>
      <c r="Z39" s="10">
        <v>3.9705438079677587E-3</v>
      </c>
      <c r="AB39" s="10" t="s">
        <v>4</v>
      </c>
      <c r="AC39" s="10">
        <v>-4.5392339627675507E-3</v>
      </c>
      <c r="AD39" s="10">
        <v>3.6503592419353183E-3</v>
      </c>
      <c r="AF39" s="10" t="s">
        <v>4</v>
      </c>
      <c r="AG39" s="10">
        <v>-1.5248553831722844E-3</v>
      </c>
      <c r="AH39" s="10">
        <v>1.5490767849229579E-3</v>
      </c>
    </row>
    <row r="40" spans="1:34" ht="13.5" thickBot="1">
      <c r="A40">
        <v>4</v>
      </c>
      <c r="B40" s="6" t="s">
        <v>101</v>
      </c>
      <c r="C40" s="4">
        <v>109.5</v>
      </c>
      <c r="D40" s="4">
        <v>38</v>
      </c>
      <c r="E40" s="4">
        <v>36</v>
      </c>
      <c r="F40" s="4">
        <v>35</v>
      </c>
      <c r="G40" s="4">
        <v>109</v>
      </c>
      <c r="H40">
        <v>47.238669393906775</v>
      </c>
      <c r="I40">
        <v>166.6078156959845</v>
      </c>
      <c r="J40">
        <v>119.36914630207772</v>
      </c>
      <c r="K40">
        <v>119.14091936699322</v>
      </c>
      <c r="L40">
        <f>COS(RADIANS(Table5[[#This Row],[scaled (max-min)]]))</f>
        <v>-0.490434535030699</v>
      </c>
      <c r="M40">
        <f>COS(RADIANS(Table5[[#This Row],[scaled(fingmax-min)]]))</f>
        <v>-0.48695928496355012</v>
      </c>
      <c r="N40">
        <f>SIN(RADIANS(180-Table5[[#This Row],[scaled (max-min)]]))</f>
        <v>0.87147803578129379</v>
      </c>
      <c r="P40" s="11" t="s">
        <v>5</v>
      </c>
      <c r="Q40" s="11">
        <v>0.32386366278578049</v>
      </c>
      <c r="R40" s="11">
        <v>0.23899031069830617</v>
      </c>
      <c r="T40" s="11" t="s">
        <v>5</v>
      </c>
      <c r="U40" s="11">
        <v>1.2894676026048877E-2</v>
      </c>
      <c r="V40" s="11">
        <v>0.2226575849166193</v>
      </c>
      <c r="X40" s="11" t="s">
        <v>5</v>
      </c>
      <c r="Y40" s="11">
        <v>-5.2809256598477967E-3</v>
      </c>
      <c r="Z40" s="11">
        <v>3.8639950395918505E-3</v>
      </c>
      <c r="AB40" s="11" t="s">
        <v>5</v>
      </c>
      <c r="AC40" s="11">
        <v>-2.8266444930592983E-4</v>
      </c>
      <c r="AD40" s="11">
        <v>3.5524025639162198E-3</v>
      </c>
      <c r="AF40" s="11" t="s">
        <v>5</v>
      </c>
      <c r="AG40" s="11">
        <v>-1.2968368812655681E-3</v>
      </c>
      <c r="AH40" s="11">
        <v>1.5075076116469847E-3</v>
      </c>
    </row>
    <row r="41" spans="1:34">
      <c r="A41">
        <v>4</v>
      </c>
      <c r="B41" s="6" t="s">
        <v>16</v>
      </c>
      <c r="C41" s="16">
        <v>105.1</v>
      </c>
      <c r="D41" s="16">
        <v>37</v>
      </c>
      <c r="E41" s="16">
        <v>36</v>
      </c>
      <c r="F41" s="16">
        <v>38</v>
      </c>
      <c r="G41" s="16">
        <v>111</v>
      </c>
      <c r="H41">
        <v>46.395736893099368</v>
      </c>
      <c r="I41">
        <v>164.1748304446119</v>
      </c>
      <c r="J41">
        <v>117.77909355151253</v>
      </c>
      <c r="K41">
        <v>119.98385186780062</v>
      </c>
      <c r="L41">
        <f>COS(RADIANS(Table5[[#This Row],[scaled (max-min)]]))</f>
        <v>-0.46606383776615534</v>
      </c>
      <c r="M41">
        <f>COS(RADIANS(Table5[[#This Row],[scaled(fingmax-min)]]))</f>
        <v>-0.49975590121241642</v>
      </c>
      <c r="N41">
        <f>SIN(RADIANS(180-Table5[[#This Row],[scaled (max-min)]]))</f>
        <v>0.88475109444785816</v>
      </c>
    </row>
    <row r="42" spans="1:34">
      <c r="A42">
        <v>4</v>
      </c>
      <c r="B42" s="6" t="s">
        <v>32</v>
      </c>
      <c r="C42" s="4">
        <v>109</v>
      </c>
      <c r="D42" s="4">
        <v>40</v>
      </c>
      <c r="E42" s="4">
        <v>32</v>
      </c>
      <c r="F42" s="4">
        <v>39</v>
      </c>
      <c r="G42" s="4">
        <v>111</v>
      </c>
      <c r="H42">
        <v>50.481214339541395</v>
      </c>
      <c r="I42">
        <v>166.47486274087632</v>
      </c>
      <c r="J42">
        <v>115.99364840133492</v>
      </c>
      <c r="K42">
        <v>115.8983744213586</v>
      </c>
      <c r="L42">
        <f>COS(RADIANS(Table5[[#This Row],[scaled (max-min)]]))</f>
        <v>-0.43827150710473611</v>
      </c>
      <c r="M42">
        <f>COS(RADIANS(Table5[[#This Row],[scaled(fingmax-min)]]))</f>
        <v>-0.43677626620887722</v>
      </c>
      <c r="N42">
        <f>SIN(RADIANS(180-Table5[[#This Row],[scaled (max-min)]]))</f>
        <v>0.89884263698388445</v>
      </c>
    </row>
    <row r="43" spans="1:34">
      <c r="A43">
        <v>4</v>
      </c>
      <c r="B43" s="6" t="s">
        <v>22</v>
      </c>
      <c r="C43" s="15">
        <v>108.8</v>
      </c>
      <c r="D43" s="15">
        <v>34</v>
      </c>
      <c r="E43" s="15">
        <v>34</v>
      </c>
      <c r="F43" s="15">
        <v>44</v>
      </c>
      <c r="G43" s="15">
        <v>112</v>
      </c>
      <c r="H43">
        <v>51.398428248465926</v>
      </c>
      <c r="I43">
        <v>156.58789966627194</v>
      </c>
      <c r="J43">
        <v>105.189471417806</v>
      </c>
      <c r="K43">
        <v>114.98116051243406</v>
      </c>
      <c r="L43">
        <f>COS(RADIANS(Table5[[#This Row],[scaled (max-min)]]))</f>
        <v>-0.26201184430419028</v>
      </c>
      <c r="M43">
        <f>COS(RADIANS(Table5[[#This Row],[scaled(fingmax-min)]]))</f>
        <v>-0.42232023485102937</v>
      </c>
      <c r="N43">
        <f>SIN(RADIANS(180-Table5[[#This Row],[scaled (max-min)]]))</f>
        <v>0.96506465764958815</v>
      </c>
    </row>
    <row r="44" spans="1:34">
      <c r="A44">
        <v>4</v>
      </c>
      <c r="B44" s="6" t="s">
        <v>14</v>
      </c>
      <c r="C44" s="15">
        <v>111.3</v>
      </c>
      <c r="D44" s="15">
        <v>45</v>
      </c>
      <c r="E44" s="15">
        <v>33</v>
      </c>
      <c r="F44" s="15">
        <v>35</v>
      </c>
      <c r="G44" s="15">
        <v>113</v>
      </c>
      <c r="H44">
        <v>47.854451501776296</v>
      </c>
      <c r="I44">
        <v>166.47863063838952</v>
      </c>
      <c r="J44">
        <v>118.62417913661322</v>
      </c>
      <c r="K44">
        <v>118.5251372591237</v>
      </c>
      <c r="L44">
        <f>COS(RADIANS(Table5[[#This Row],[scaled (max-min)]]))</f>
        <v>-0.47906232898814494</v>
      </c>
      <c r="M44">
        <f>COS(RADIANS(Table5[[#This Row],[scaled(fingmax-min)]]))</f>
        <v>-0.47754427594347376</v>
      </c>
      <c r="N44">
        <f>SIN(RADIANS(180-Table5[[#This Row],[scaled (max-min)]]))</f>
        <v>0.87778088663655374</v>
      </c>
      <c r="P44" t="s">
        <v>65</v>
      </c>
      <c r="T44" t="s">
        <v>65</v>
      </c>
      <c r="X44" t="s">
        <v>65</v>
      </c>
      <c r="AB44" t="s">
        <v>65</v>
      </c>
      <c r="AF44" t="s">
        <v>65</v>
      </c>
    </row>
    <row r="45" spans="1:34" ht="13.5" thickBot="1">
      <c r="A45">
        <v>4</v>
      </c>
      <c r="B45" s="6" t="s">
        <v>18</v>
      </c>
      <c r="C45" s="16">
        <v>120.3</v>
      </c>
      <c r="D45" s="16">
        <v>39</v>
      </c>
      <c r="E45" s="16">
        <v>39</v>
      </c>
      <c r="F45" s="16">
        <v>39</v>
      </c>
      <c r="G45" s="16">
        <v>117</v>
      </c>
      <c r="H45">
        <v>47.085262138012702</v>
      </c>
      <c r="I45">
        <v>155.38486381741845</v>
      </c>
      <c r="J45">
        <v>108.29960167940575</v>
      </c>
      <c r="K45">
        <v>119.2943266228873</v>
      </c>
      <c r="L45">
        <f>COS(RADIANS(Table5[[#This Row],[scaled (max-min)]]))</f>
        <v>-0.31398585554834446</v>
      </c>
      <c r="M45">
        <f>COS(RADIANS(Table5[[#This Row],[scaled(fingmax-min)]]))</f>
        <v>-0.48929609782634559</v>
      </c>
      <c r="N45">
        <f>SIN(RADIANS(180-Table5[[#This Row],[scaled (max-min)]]))</f>
        <v>0.94942766049635097</v>
      </c>
    </row>
    <row r="46" spans="1:34">
      <c r="A46">
        <v>4</v>
      </c>
      <c r="B46" s="6" t="s">
        <v>28</v>
      </c>
      <c r="C46" s="9">
        <v>115.8</v>
      </c>
      <c r="D46" s="9">
        <v>48</v>
      </c>
      <c r="E46" s="9">
        <v>33</v>
      </c>
      <c r="F46" s="9">
        <v>36</v>
      </c>
      <c r="G46" s="9">
        <v>117</v>
      </c>
      <c r="H46">
        <v>51.857035202928195</v>
      </c>
      <c r="I46">
        <v>159.06340833243621</v>
      </c>
      <c r="J46">
        <v>107.20637312950802</v>
      </c>
      <c r="K46">
        <v>114.5225535579718</v>
      </c>
      <c r="L46">
        <f>COS(RADIANS(Table5[[#This Row],[scaled (max-min)]]))</f>
        <v>-0.29581430582665391</v>
      </c>
      <c r="M46">
        <f>COS(RADIANS(Table5[[#This Row],[scaled(fingmax-min)]]))</f>
        <v>-0.41505140207266245</v>
      </c>
      <c r="N46">
        <f>SIN(RADIANS(180-Table5[[#This Row],[scaled (max-min)]]))</f>
        <v>0.95524546398729093</v>
      </c>
      <c r="P46" s="12" t="s">
        <v>66</v>
      </c>
      <c r="Q46" s="12" t="s">
        <v>114</v>
      </c>
      <c r="R46" s="12" t="s">
        <v>68</v>
      </c>
      <c r="T46" s="12" t="s">
        <v>66</v>
      </c>
      <c r="U46" s="12" t="s">
        <v>113</v>
      </c>
      <c r="V46" s="12" t="s">
        <v>68</v>
      </c>
      <c r="X46" s="12" t="s">
        <v>66</v>
      </c>
      <c r="Y46" s="12" t="s">
        <v>117</v>
      </c>
      <c r="Z46" s="12" t="s">
        <v>68</v>
      </c>
      <c r="AB46" s="12" t="s">
        <v>66</v>
      </c>
      <c r="AC46" s="12" t="s">
        <v>118</v>
      </c>
      <c r="AD46" s="12" t="s">
        <v>68</v>
      </c>
      <c r="AF46" s="12" t="s">
        <v>66</v>
      </c>
      <c r="AG46" s="12" t="s">
        <v>120</v>
      </c>
      <c r="AH46" s="12" t="s">
        <v>68</v>
      </c>
    </row>
    <row r="47" spans="1:34">
      <c r="A47">
        <v>4</v>
      </c>
      <c r="B47" t="s">
        <v>90</v>
      </c>
      <c r="C47" s="15">
        <v>116.9</v>
      </c>
      <c r="D47" s="15">
        <v>42</v>
      </c>
      <c r="E47" s="15">
        <v>37</v>
      </c>
      <c r="F47" s="15">
        <v>41</v>
      </c>
      <c r="G47" s="15">
        <v>120</v>
      </c>
      <c r="H47">
        <v>50.982344708795353</v>
      </c>
      <c r="I47">
        <v>164.09947249434816</v>
      </c>
      <c r="J47">
        <v>113.11712778555281</v>
      </c>
      <c r="K47">
        <v>115.39724405210464</v>
      </c>
      <c r="L47">
        <f>COS(RADIANS(Table5[[#This Row],[scaled (max-min)]]))</f>
        <v>-0.39261206705971119</v>
      </c>
      <c r="M47">
        <f>COS(RADIANS(Table5[[#This Row],[scaled(fingmax-min)]]))</f>
        <v>-0.42889168214984885</v>
      </c>
      <c r="N47">
        <f>SIN(RADIANS(180-Table5[[#This Row],[scaled (max-min)]]))</f>
        <v>0.91970417243758373</v>
      </c>
      <c r="P47" s="10">
        <v>1</v>
      </c>
      <c r="Q47" s="10">
        <v>122.4064128115903</v>
      </c>
      <c r="R47" s="10">
        <v>-4.2860553995976289</v>
      </c>
      <c r="T47" s="10">
        <v>1</v>
      </c>
      <c r="U47" s="10">
        <v>122.59963558043904</v>
      </c>
      <c r="V47" s="10">
        <v>-4.5863941120355491</v>
      </c>
      <c r="X47" s="10">
        <v>1</v>
      </c>
      <c r="Y47" s="10">
        <v>-0.54234089158045551</v>
      </c>
      <c r="Z47" s="10">
        <v>7.1015617011904897E-2</v>
      </c>
      <c r="AB47" s="10">
        <v>1</v>
      </c>
      <c r="AC47" s="10">
        <v>-0.54346459142278969</v>
      </c>
      <c r="AD47" s="10">
        <v>7.3788985611219438E-2</v>
      </c>
      <c r="AF47" s="10">
        <v>1</v>
      </c>
      <c r="AG47" s="10">
        <v>0.87226499248500244</v>
      </c>
      <c r="AH47" s="10">
        <v>9.6944655134253432E-3</v>
      </c>
    </row>
    <row r="48" spans="1:34">
      <c r="A48">
        <v>4</v>
      </c>
      <c r="B48" s="6" t="s">
        <v>20</v>
      </c>
      <c r="C48" s="16">
        <v>121.3</v>
      </c>
      <c r="D48" s="16">
        <v>45</v>
      </c>
      <c r="E48" s="16">
        <v>38</v>
      </c>
      <c r="F48" s="16">
        <v>38</v>
      </c>
      <c r="G48" s="16">
        <v>121</v>
      </c>
      <c r="H48">
        <v>45.00592098180644</v>
      </c>
      <c r="I48">
        <v>166.41672946495856</v>
      </c>
      <c r="J48">
        <v>121.41080848315212</v>
      </c>
      <c r="K48">
        <v>121.37366777909355</v>
      </c>
      <c r="L48">
        <f>COS(RADIANS(Table5[[#This Row],[scaled (max-min)]]))</f>
        <v>-0.52117063947986253</v>
      </c>
      <c r="M48">
        <f>COS(RADIANS(Table5[[#This Row],[scaled(fingmax-min)]]))</f>
        <v>-0.52061729858072869</v>
      </c>
      <c r="N48">
        <f>SIN(RADIANS(180-Table5[[#This Row],[scaled (max-min)]]))</f>
        <v>0.85345249694646219</v>
      </c>
      <c r="P48" s="10">
        <v>2</v>
      </c>
      <c r="Q48" s="10">
        <v>120.62345399173124</v>
      </c>
      <c r="R48" s="10">
        <v>-6.5654283700281439</v>
      </c>
      <c r="T48" s="10">
        <v>2</v>
      </c>
      <c r="U48" s="10">
        <v>120.01664921893752</v>
      </c>
      <c r="V48" s="10">
        <v>-3.5832333507062657</v>
      </c>
      <c r="X48" s="10">
        <v>2</v>
      </c>
      <c r="Y48" s="10">
        <v>-0.51246550396309032</v>
      </c>
      <c r="Z48" s="10">
        <v>0.1048038872917994</v>
      </c>
      <c r="AB48" s="10">
        <v>2</v>
      </c>
      <c r="AC48" s="10">
        <v>-0.50151971641143867</v>
      </c>
      <c r="AD48" s="10">
        <v>5.6362218618924098E-2</v>
      </c>
      <c r="AF48" s="10">
        <v>2</v>
      </c>
      <c r="AG48" s="10">
        <v>0.88104181655361558</v>
      </c>
      <c r="AH48" s="10">
        <v>3.2091254960580184E-2</v>
      </c>
    </row>
    <row r="49" spans="1:34">
      <c r="A49">
        <v>4</v>
      </c>
      <c r="B49" s="6" t="s">
        <v>26</v>
      </c>
      <c r="C49" s="9">
        <v>124.8</v>
      </c>
      <c r="D49" s="9">
        <v>44</v>
      </c>
      <c r="E49" s="9">
        <v>40</v>
      </c>
      <c r="F49" s="9">
        <v>42</v>
      </c>
      <c r="G49" s="9">
        <v>126</v>
      </c>
      <c r="H49">
        <v>46.301539455269676</v>
      </c>
      <c r="I49">
        <v>158.60211002260741</v>
      </c>
      <c r="J49">
        <v>112.30057056733773</v>
      </c>
      <c r="K49">
        <v>120.07804930563032</v>
      </c>
      <c r="L49">
        <f>COS(RADIANS(Table5[[#This Row],[scaled (max-min)]]))</f>
        <v>-0.37946537300637329</v>
      </c>
      <c r="M49">
        <f>COS(RADIANS(Table5[[#This Row],[scaled(fingmax-min)]]))</f>
        <v>-0.50117925056727597</v>
      </c>
      <c r="N49">
        <f>SIN(RADIANS(180-Table5[[#This Row],[scaled (max-min)]]))</f>
        <v>0.92520593960973574</v>
      </c>
      <c r="P49" s="10">
        <v>3</v>
      </c>
      <c r="Q49" s="10">
        <v>119.15976761255627</v>
      </c>
      <c r="R49" s="10">
        <v>-6.8591970452185365</v>
      </c>
      <c r="T49" s="10">
        <v>3</v>
      </c>
      <c r="U49" s="10">
        <v>120.49010971178942</v>
      </c>
      <c r="V49" s="10">
        <v>-0.41206040615909956</v>
      </c>
      <c r="X49" s="10">
        <v>3</v>
      </c>
      <c r="Y49" s="10">
        <v>-0.48874306140876361</v>
      </c>
      <c r="Z49" s="10">
        <v>0.10927768840239033</v>
      </c>
      <c r="AB49" s="10">
        <v>3</v>
      </c>
      <c r="AC49" s="10">
        <v>-0.50882678881619015</v>
      </c>
      <c r="AD49" s="10">
        <v>7.6475382489141763E-3</v>
      </c>
      <c r="AF49" s="10">
        <v>3</v>
      </c>
      <c r="AG49" s="10">
        <v>0.88624127626970206</v>
      </c>
      <c r="AH49" s="10">
        <v>3.8964663340033678E-2</v>
      </c>
    </row>
    <row r="50" spans="1:34">
      <c r="A50">
        <v>5</v>
      </c>
      <c r="B50" s="6" t="s">
        <v>24</v>
      </c>
      <c r="C50" s="16">
        <v>69</v>
      </c>
      <c r="D50" s="16">
        <v>32</v>
      </c>
      <c r="E50" s="16">
        <v>19</v>
      </c>
      <c r="F50" s="16">
        <v>24</v>
      </c>
      <c r="G50" s="16">
        <v>75</v>
      </c>
      <c r="H50">
        <v>83.654322316718705</v>
      </c>
      <c r="I50">
        <v>153.9326084616213</v>
      </c>
      <c r="J50">
        <v>70.278286144902594</v>
      </c>
      <c r="K50">
        <v>78.903541823662394</v>
      </c>
      <c r="L50">
        <f>COS(RADIANS(Table5[[#This Row],[scaled (max-min)]]))</f>
        <v>0.33745203108035515</v>
      </c>
      <c r="M50">
        <f>COS(RADIANS(Table5[[#This Row],[scaled(fingmax-min)]]))</f>
        <v>0.19246130609541753</v>
      </c>
      <c r="N50">
        <f>SIN(RADIANS(180-Table5[[#This Row],[scaled (max-min)]]))</f>
        <v>0.94134272542987396</v>
      </c>
      <c r="P50" s="10">
        <v>4</v>
      </c>
      <c r="Q50" s="10">
        <v>116.93723127958962</v>
      </c>
      <c r="R50" s="10">
        <v>-6.9183917920236695</v>
      </c>
      <c r="T50" s="10">
        <v>4</v>
      </c>
      <c r="U50" s="10">
        <v>117.36399742405962</v>
      </c>
      <c r="V50" s="10">
        <v>-7.5313997278598066</v>
      </c>
      <c r="X50" s="10">
        <v>4</v>
      </c>
      <c r="Y50" s="10">
        <v>-0.45150377771127637</v>
      </c>
      <c r="Z50" s="10">
        <v>0.10917467152774918</v>
      </c>
      <c r="AB50" s="10">
        <v>4</v>
      </c>
      <c r="AC50" s="10">
        <v>-0.45808611032860991</v>
      </c>
      <c r="AD50" s="10">
        <v>0.11881294293336703</v>
      </c>
      <c r="AF50" s="10">
        <v>4</v>
      </c>
      <c r="AG50" s="10">
        <v>0.89677097422339402</v>
      </c>
      <c r="AH50" s="10">
        <v>4.2809135751049499E-2</v>
      </c>
    </row>
    <row r="51" spans="1:34">
      <c r="A51">
        <v>5</v>
      </c>
      <c r="B51" s="6" t="s">
        <v>16</v>
      </c>
      <c r="C51" s="16">
        <v>74.8</v>
      </c>
      <c r="D51" s="16">
        <v>37</v>
      </c>
      <c r="E51" s="16">
        <v>20</v>
      </c>
      <c r="F51" s="16">
        <v>27</v>
      </c>
      <c r="G51" s="16">
        <v>84</v>
      </c>
      <c r="H51">
        <v>48.540208849176445</v>
      </c>
      <c r="I51">
        <v>149.55754117773711</v>
      </c>
      <c r="J51">
        <v>101.01733232856066</v>
      </c>
      <c r="K51">
        <v>114.01765529120465</v>
      </c>
      <c r="L51">
        <f>COS(RADIANS(Table5[[#This Row],[scaled (max-min)]]))</f>
        <v>-0.19110593495104486</v>
      </c>
      <c r="M51">
        <f>COS(RADIANS(Table5[[#This Row],[scaled(fingmax-min)]]))</f>
        <v>-0.40701812636426538</v>
      </c>
      <c r="N51">
        <f>SIN(RADIANS(180-Table5[[#This Row],[scaled (max-min)]]))</f>
        <v>0.98156941762999472</v>
      </c>
      <c r="P51" s="10">
        <v>5</v>
      </c>
      <c r="Q51" s="10">
        <v>117.11614110252313</v>
      </c>
      <c r="R51" s="10">
        <v>2.2056373451030993</v>
      </c>
      <c r="T51" s="10">
        <v>5</v>
      </c>
      <c r="U51" s="10">
        <v>119.47973037162238</v>
      </c>
      <c r="V51" s="10">
        <v>-0.35442086575521614</v>
      </c>
      <c r="X51" s="10">
        <v>5</v>
      </c>
      <c r="Y51" s="10">
        <v>-0.45515394905716378</v>
      </c>
      <c r="Z51" s="10">
        <v>-3.4559945759553068E-2</v>
      </c>
      <c r="AB51" s="10">
        <v>5</v>
      </c>
      <c r="AC51" s="10">
        <v>-0.49206325761135494</v>
      </c>
      <c r="AD51" s="10">
        <v>5.3419495673429074E-3</v>
      </c>
      <c r="AF51" s="10">
        <v>5</v>
      </c>
      <c r="AG51" s="10">
        <v>0.89541497540297799</v>
      </c>
      <c r="AH51" s="10">
        <v>-2.3531782983579608E-2</v>
      </c>
    </row>
    <row r="52" spans="1:34">
      <c r="A52">
        <v>5</v>
      </c>
      <c r="B52" s="6" t="s">
        <v>38</v>
      </c>
      <c r="C52" s="4">
        <v>87.9</v>
      </c>
      <c r="D52" s="4">
        <v>36</v>
      </c>
      <c r="E52" s="4">
        <v>20</v>
      </c>
      <c r="F52" s="4">
        <v>30</v>
      </c>
      <c r="G52" s="4">
        <v>86</v>
      </c>
      <c r="H52">
        <v>52.738723221014105</v>
      </c>
      <c r="I52">
        <v>162.6956615351491</v>
      </c>
      <c r="J52">
        <v>109.95693831413499</v>
      </c>
      <c r="K52">
        <v>109.81914091936699</v>
      </c>
      <c r="L52">
        <f>COS(RADIANS(Table5[[#This Row],[scaled (max-min)]]))</f>
        <v>-0.34131380370493469</v>
      </c>
      <c r="M52">
        <f>COS(RADIANS(Table5[[#This Row],[scaled(fingmax-min)]]))</f>
        <v>-0.33905222331839407</v>
      </c>
      <c r="N52">
        <f>SIN(RADIANS(180-Table5[[#This Row],[scaled (max-min)]]))</f>
        <v>0.939949406830213</v>
      </c>
      <c r="P52" s="10">
        <v>6</v>
      </c>
      <c r="Q52" s="10">
        <v>117.67280334520169</v>
      </c>
      <c r="R52" s="10">
        <v>6.8960415250749918</v>
      </c>
      <c r="T52" s="10">
        <v>6</v>
      </c>
      <c r="U52" s="10">
        <v>119.38577113006065</v>
      </c>
      <c r="V52" s="10">
        <v>4.9699183951842656</v>
      </c>
      <c r="X52" s="10">
        <v>6</v>
      </c>
      <c r="Y52" s="10">
        <v>-0.4640526332534618</v>
      </c>
      <c r="Z52" s="10">
        <v>-0.1033434395768682</v>
      </c>
      <c r="AB52" s="10">
        <v>6</v>
      </c>
      <c r="AC52" s="10">
        <v>-0.49087710858947797</v>
      </c>
      <c r="AD52" s="10">
        <v>-7.3451613138665661E-2</v>
      </c>
      <c r="AF52" s="10">
        <v>6</v>
      </c>
      <c r="AG52" s="10">
        <v>0.89151201011596337</v>
      </c>
      <c r="AH52" s="10">
        <v>-6.8066992803502591E-2</v>
      </c>
    </row>
    <row r="53" spans="1:34">
      <c r="A53">
        <v>5</v>
      </c>
      <c r="B53" s="6" t="s">
        <v>34</v>
      </c>
      <c r="C53" s="4">
        <v>87.6</v>
      </c>
      <c r="D53" s="4">
        <v>34</v>
      </c>
      <c r="E53" s="4">
        <v>24</v>
      </c>
      <c r="F53" s="4">
        <v>28</v>
      </c>
      <c r="G53" s="4">
        <v>86</v>
      </c>
      <c r="H53">
        <v>60.076972763483688</v>
      </c>
      <c r="I53">
        <v>149.16406502314567</v>
      </c>
      <c r="J53">
        <v>89.087092259661972</v>
      </c>
      <c r="K53">
        <v>102.4808913768974</v>
      </c>
      <c r="L53">
        <f>COS(RADIANS(Table5[[#This Row],[scaled (max-min)]]))</f>
        <v>1.5932571686664454E-2</v>
      </c>
      <c r="M53">
        <f>COS(RADIANS(Table5[[#This Row],[scaled(fingmax-min)]]))</f>
        <v>-0.21611399899889042</v>
      </c>
      <c r="N53">
        <f>SIN(RADIANS(180-Table5[[#This Row],[scaled (max-min)]]))</f>
        <v>0.99987306852392488</v>
      </c>
      <c r="P53" s="10">
        <v>7</v>
      </c>
      <c r="Q53" s="10">
        <v>116.94523985076586</v>
      </c>
      <c r="R53" s="10">
        <v>13.539204115215398</v>
      </c>
      <c r="T53" s="10">
        <v>7</v>
      </c>
      <c r="U53" s="10">
        <v>119.34457653244876</v>
      </c>
      <c r="V53" s="10">
        <v>10.911640498448023</v>
      </c>
      <c r="X53" s="10">
        <v>7</v>
      </c>
      <c r="Y53" s="10">
        <v>-0.4522923512844903</v>
      </c>
      <c r="Z53" s="10">
        <v>-0.19694921984083857</v>
      </c>
      <c r="AB53" s="10">
        <v>7</v>
      </c>
      <c r="AC53" s="10">
        <v>-0.4898972684421502</v>
      </c>
      <c r="AD53" s="10">
        <v>-0.15630952396539988</v>
      </c>
      <c r="AF53" s="10">
        <v>7</v>
      </c>
      <c r="AG53" s="10">
        <v>0.89576305925135036</v>
      </c>
      <c r="AH53" s="10">
        <v>-0.13518079392910753</v>
      </c>
    </row>
    <row r="54" spans="1:34">
      <c r="A54">
        <v>5</v>
      </c>
      <c r="B54" s="6" t="s">
        <v>32</v>
      </c>
      <c r="C54" s="4">
        <v>84.6</v>
      </c>
      <c r="D54" s="4">
        <v>32</v>
      </c>
      <c r="E54" s="4">
        <v>24</v>
      </c>
      <c r="F54" s="4">
        <v>31</v>
      </c>
      <c r="G54" s="4">
        <v>87</v>
      </c>
      <c r="H54">
        <v>53.895467757562706</v>
      </c>
      <c r="I54">
        <v>155.50489826676713</v>
      </c>
      <c r="J54">
        <v>101.60943050920443</v>
      </c>
      <c r="K54">
        <v>108.6623963828184</v>
      </c>
      <c r="L54">
        <f>COS(RADIANS(Table5[[#This Row],[scaled (max-min)]]))</f>
        <v>-0.20123915007744969</v>
      </c>
      <c r="M54">
        <f>COS(RADIANS(Table5[[#This Row],[scaled(fingmax-min)]]))</f>
        <v>-0.3199912609101771</v>
      </c>
      <c r="N54">
        <f>SIN(RADIANS(180-Table5[[#This Row],[scaled (max-min)]]))</f>
        <v>0.97954214022476116</v>
      </c>
      <c r="P54" s="10">
        <v>8</v>
      </c>
      <c r="Q54" s="10">
        <v>117.69341170965586</v>
      </c>
      <c r="R54" s="10">
        <v>3.7173967734962616</v>
      </c>
      <c r="T54" s="10">
        <v>8</v>
      </c>
      <c r="U54" s="10">
        <v>120.30337716851159</v>
      </c>
      <c r="V54" s="10">
        <v>1.0702906105819636</v>
      </c>
      <c r="X54" s="10">
        <v>8</v>
      </c>
      <c r="Y54" s="10">
        <v>-0.46475776099669897</v>
      </c>
      <c r="Z54" s="10">
        <v>-5.6412878483163564E-2</v>
      </c>
      <c r="AB54" s="10">
        <v>8</v>
      </c>
      <c r="AC54" s="10">
        <v>-0.50553014184976164</v>
      </c>
      <c r="AD54" s="10">
        <v>-1.5087156730967055E-2</v>
      </c>
      <c r="AF54" s="10">
        <v>8</v>
      </c>
      <c r="AG54" s="10">
        <v>0.89177670764313643</v>
      </c>
      <c r="AH54" s="10">
        <v>-3.8324210696674244E-2</v>
      </c>
    </row>
    <row r="55" spans="1:34">
      <c r="A55">
        <v>5</v>
      </c>
      <c r="B55" s="6" t="s">
        <v>22</v>
      </c>
      <c r="C55" s="15">
        <v>78.3</v>
      </c>
      <c r="D55" s="15">
        <v>34</v>
      </c>
      <c r="E55" s="15">
        <v>25</v>
      </c>
      <c r="F55" s="15">
        <v>29</v>
      </c>
      <c r="G55" s="15">
        <v>88</v>
      </c>
      <c r="H55">
        <v>35.215846700398323</v>
      </c>
      <c r="I55">
        <v>147.25535579717948</v>
      </c>
      <c r="J55">
        <v>112.03950909678116</v>
      </c>
      <c r="K55">
        <v>127.34201743998278</v>
      </c>
      <c r="L55">
        <f>COS(RADIANS(Table5[[#This Row],[scaled (max-min)]]))</f>
        <v>-0.37524585674653005</v>
      </c>
      <c r="M55">
        <f>COS(RADIANS(Table5[[#This Row],[scaled(fingmax-min)]]))</f>
        <v>-0.6065715919128607</v>
      </c>
      <c r="N55">
        <f>SIN(RADIANS(180-Table5[[#This Row],[scaled (max-min)]]))</f>
        <v>0.92692531899531294</v>
      </c>
      <c r="P55" s="10">
        <v>9</v>
      </c>
      <c r="Q55" s="10">
        <v>116.65595522496137</v>
      </c>
      <c r="R55" s="10">
        <v>-4.5965300984676674</v>
      </c>
      <c r="T55" s="10">
        <v>9</v>
      </c>
      <c r="U55" s="10">
        <v>118.01899840694317</v>
      </c>
      <c r="V55" s="10">
        <v>4.1577698135326671</v>
      </c>
      <c r="X55" s="10">
        <v>9</v>
      </c>
      <c r="Y55" s="10">
        <v>-0.4470849252338045</v>
      </c>
      <c r="Z55" s="10">
        <v>7.1516891651559555E-2</v>
      </c>
      <c r="AB55" s="10">
        <v>9</v>
      </c>
      <c r="AC55" s="10">
        <v>-0.46861442087484206</v>
      </c>
      <c r="AD55" s="10">
        <v>-6.3918704574736029E-2</v>
      </c>
      <c r="AF55" s="10">
        <v>9</v>
      </c>
      <c r="AG55" s="10">
        <v>0.89690315176088387</v>
      </c>
      <c r="AH55" s="10">
        <v>2.9891675669203588E-2</v>
      </c>
    </row>
    <row r="56" spans="1:34">
      <c r="A56">
        <v>5</v>
      </c>
      <c r="B56" s="6" t="s">
        <v>30</v>
      </c>
      <c r="C56" s="4">
        <v>97.4</v>
      </c>
      <c r="D56" s="4">
        <v>34</v>
      </c>
      <c r="E56" s="4">
        <v>22</v>
      </c>
      <c r="F56" s="4">
        <v>33</v>
      </c>
      <c r="G56" s="4">
        <v>89</v>
      </c>
      <c r="H56">
        <v>44.445580794488109</v>
      </c>
      <c r="I56">
        <v>155.44407363548285</v>
      </c>
      <c r="J56">
        <v>110.99849284099474</v>
      </c>
      <c r="K56">
        <v>118.11228334589299</v>
      </c>
      <c r="L56">
        <f>COS(RADIANS(Table5[[#This Row],[scaled (max-min)]]))</f>
        <v>-0.35834339169369955</v>
      </c>
      <c r="M56">
        <f>COS(RADIANS(Table5[[#This Row],[scaled(fingmax-min)]]))</f>
        <v>-0.47120098501122903</v>
      </c>
      <c r="N56">
        <f>SIN(RADIANS(180-Table5[[#This Row],[scaled (max-min)]]))</f>
        <v>0.9335898530026211</v>
      </c>
      <c r="P56" s="10">
        <v>10</v>
      </c>
      <c r="Q56" s="10">
        <v>116.50566233765828</v>
      </c>
      <c r="R56" s="10">
        <v>-3.3885345521054688</v>
      </c>
      <c r="T56" s="10">
        <v>10</v>
      </c>
      <c r="U56" s="10">
        <v>118.80145060622047</v>
      </c>
      <c r="V56" s="10">
        <v>-3.4042065541158308</v>
      </c>
      <c r="X56" s="10">
        <v>10</v>
      </c>
      <c r="Y56" s="10">
        <v>-0.44492845520436819</v>
      </c>
      <c r="Z56" s="10">
        <v>5.2316388144657E-2</v>
      </c>
      <c r="AB56" s="10">
        <v>10</v>
      </c>
      <c r="AC56" s="10">
        <v>-0.48110146496592099</v>
      </c>
      <c r="AD56" s="10">
        <v>5.2209782816072137E-2</v>
      </c>
      <c r="AF56" s="10">
        <v>10</v>
      </c>
      <c r="AG56" s="10">
        <v>0.8975159331364293</v>
      </c>
      <c r="AH56" s="10">
        <v>2.2188239301154433E-2</v>
      </c>
    </row>
    <row r="57" spans="1:34">
      <c r="A57">
        <v>5</v>
      </c>
      <c r="B57" s="6" t="s">
        <v>101</v>
      </c>
      <c r="C57" s="4">
        <v>86.8</v>
      </c>
      <c r="D57" s="4">
        <v>36</v>
      </c>
      <c r="E57" s="4">
        <v>21</v>
      </c>
      <c r="F57" s="4">
        <v>32</v>
      </c>
      <c r="G57" s="4">
        <v>89</v>
      </c>
      <c r="H57">
        <v>47.910431693400803</v>
      </c>
      <c r="I57">
        <v>152.62891592205835</v>
      </c>
      <c r="J57">
        <v>104.71848422865756</v>
      </c>
      <c r="K57">
        <v>114.6474324469803</v>
      </c>
      <c r="L57">
        <f>COS(RADIANS(Table5[[#This Row],[scaled (max-min)]]))</f>
        <v>-0.25406998225235039</v>
      </c>
      <c r="M57">
        <f>COS(RADIANS(Table5[[#This Row],[scaled(fingmax-min)]]))</f>
        <v>-0.41703336279724562</v>
      </c>
      <c r="N57">
        <f>SIN(RADIANS(180-Table5[[#This Row],[scaled (max-min)]]))</f>
        <v>0.96718583742644326</v>
      </c>
      <c r="P57" s="10">
        <v>11</v>
      </c>
      <c r="Q57" s="10">
        <v>117.5803673830595</v>
      </c>
      <c r="R57" s="10">
        <v>-6.4505364001765031</v>
      </c>
      <c r="T57" s="10">
        <v>11</v>
      </c>
      <c r="U57" s="10">
        <v>120.43333895443907</v>
      </c>
      <c r="V57" s="10">
        <v>-7.3673469208509488</v>
      </c>
      <c r="X57" s="10">
        <v>11</v>
      </c>
      <c r="Y57" s="10">
        <v>-0.46293764843416263</v>
      </c>
      <c r="Z57" s="10">
        <v>0.10245514792511157</v>
      </c>
      <c r="AB57" s="10">
        <v>11</v>
      </c>
      <c r="AC57" s="10">
        <v>-0.50762072219401844</v>
      </c>
      <c r="AD57" s="10">
        <v>0.11582963562561555</v>
      </c>
      <c r="AF57" s="10">
        <v>11</v>
      </c>
      <c r="AG57" s="10">
        <v>0.89189677298960202</v>
      </c>
      <c r="AH57" s="10">
        <v>4.086920346255285E-2</v>
      </c>
    </row>
    <row r="58" spans="1:34">
      <c r="A58">
        <v>5</v>
      </c>
      <c r="B58" t="s">
        <v>90</v>
      </c>
      <c r="C58" s="15">
        <v>76.400000000000006</v>
      </c>
      <c r="D58" s="15">
        <v>36</v>
      </c>
      <c r="E58" s="15">
        <v>23</v>
      </c>
      <c r="F58" s="15">
        <v>30</v>
      </c>
      <c r="G58" s="15">
        <v>89</v>
      </c>
      <c r="H58">
        <v>51.674023038001941</v>
      </c>
      <c r="I58">
        <v>156.672408224782</v>
      </c>
      <c r="J58">
        <v>104.99838518678007</v>
      </c>
      <c r="K58">
        <v>110.88384110237917</v>
      </c>
      <c r="L58">
        <f>COS(RADIANS(Table5[[#This Row],[scaled (max-min)]]))</f>
        <v>-0.2587918215321906</v>
      </c>
      <c r="M58">
        <f>COS(RADIANS(Table5[[#This Row],[scaled(fingmax-min)]]))</f>
        <v>-0.3564745152156652</v>
      </c>
      <c r="N58">
        <f>SIN(RADIANS(180-Table5[[#This Row],[scaled (max-min)]]))</f>
        <v>0.96593312041157942</v>
      </c>
      <c r="P58" s="10">
        <v>12</v>
      </c>
      <c r="Q58" s="10">
        <v>113.91934425747375</v>
      </c>
      <c r="R58" s="10">
        <v>18.642287780420546</v>
      </c>
      <c r="T58" s="10">
        <v>12</v>
      </c>
      <c r="U58" s="10">
        <v>115.65474101968471</v>
      </c>
      <c r="V58" s="10">
        <v>16.627528331160391</v>
      </c>
      <c r="X58" s="10">
        <v>12</v>
      </c>
      <c r="Y58" s="10">
        <v>-0.40180903052239514</v>
      </c>
      <c r="Z58" s="10">
        <v>-0.27457386203030676</v>
      </c>
      <c r="AB58" s="10">
        <v>12</v>
      </c>
      <c r="AC58" s="10">
        <v>-0.42987086640467687</v>
      </c>
      <c r="AD58" s="10">
        <v>-0.24291272997148361</v>
      </c>
      <c r="AF58" s="10">
        <v>12</v>
      </c>
      <c r="AG58" s="10">
        <v>0.9101711556578147</v>
      </c>
      <c r="AH58" s="10">
        <v>-0.17362096547248851</v>
      </c>
    </row>
    <row r="59" spans="1:34">
      <c r="A59">
        <v>5</v>
      </c>
      <c r="B59" s="6" t="s">
        <v>14</v>
      </c>
      <c r="C59" s="15">
        <v>86.4</v>
      </c>
      <c r="D59" s="15">
        <v>35</v>
      </c>
      <c r="E59" s="15">
        <v>29</v>
      </c>
      <c r="F59" s="15">
        <v>27</v>
      </c>
      <c r="G59" s="15">
        <v>91</v>
      </c>
      <c r="H59">
        <v>37.919582301647111</v>
      </c>
      <c r="I59">
        <v>150.37948110668532</v>
      </c>
      <c r="J59">
        <v>112.45989880503821</v>
      </c>
      <c r="K59">
        <v>124.63828183873399</v>
      </c>
      <c r="L59">
        <f>COS(RADIANS(Table5[[#This Row],[scaled (max-min)]]))</f>
        <v>-0.38203671735601102</v>
      </c>
      <c r="M59">
        <f>COS(RADIANS(Table5[[#This Row],[scaled(fingmax-min)]]))</f>
        <v>-0.56839359199727313</v>
      </c>
      <c r="N59">
        <f>SIN(RADIANS(180-Table5[[#This Row],[scaled (max-min)]]))</f>
        <v>0.92414714553032262</v>
      </c>
      <c r="P59" s="10">
        <v>13</v>
      </c>
      <c r="Q59" s="10">
        <v>114.22793860325618</v>
      </c>
      <c r="R59" s="10">
        <v>-4.4653161465870141</v>
      </c>
      <c r="T59" s="10">
        <v>13</v>
      </c>
      <c r="U59" s="10">
        <v>116.07041572951927</v>
      </c>
      <c r="V59" s="10">
        <v>6.1402635685752642</v>
      </c>
      <c r="X59" s="10">
        <v>13</v>
      </c>
      <c r="Y59" s="10">
        <v>-0.40691054415448169</v>
      </c>
      <c r="Z59" s="10">
        <v>6.8786490049943083E-2</v>
      </c>
      <c r="AB59" s="10">
        <v>13</v>
      </c>
      <c r="AC59" s="10">
        <v>-0.43670793633605914</v>
      </c>
      <c r="AD59" s="10">
        <v>-9.6326051502365562E-2</v>
      </c>
      <c r="AF59" s="10">
        <v>13</v>
      </c>
      <c r="AG59" s="10">
        <v>0.90793767793468017</v>
      </c>
      <c r="AH59" s="10">
        <v>3.3163870271415985E-2</v>
      </c>
    </row>
    <row r="60" spans="1:34">
      <c r="A60">
        <v>5</v>
      </c>
      <c r="B60" s="6" t="s">
        <v>26</v>
      </c>
      <c r="C60" s="9">
        <v>90.3</v>
      </c>
      <c r="D60" s="9">
        <v>40</v>
      </c>
      <c r="E60" s="9">
        <v>28</v>
      </c>
      <c r="F60" s="9">
        <v>25</v>
      </c>
      <c r="G60" s="9">
        <v>93</v>
      </c>
      <c r="H60">
        <v>41.967380772957263</v>
      </c>
      <c r="I60">
        <v>153.35181397351707</v>
      </c>
      <c r="J60">
        <v>111.38443320055981</v>
      </c>
      <c r="K60">
        <v>120.59048336742384</v>
      </c>
      <c r="L60">
        <f>COS(RADIANS(Table5[[#This Row],[scaled (max-min)]]))</f>
        <v>-0.36462381054621484</v>
      </c>
      <c r="M60">
        <f>COS(RADIANS(Table5[[#This Row],[scaled(fingmax-min)]]))</f>
        <v>-0.50889844242909676</v>
      </c>
      <c r="N60">
        <f>SIN(RADIANS(180-Table5[[#This Row],[scaled (max-min)]]))</f>
        <v>0.93115491556601793</v>
      </c>
      <c r="P60" s="10">
        <v>14</v>
      </c>
      <c r="Q60" s="10">
        <v>114.84375641557185</v>
      </c>
      <c r="R60" s="10">
        <v>-6.5441547361660923</v>
      </c>
      <c r="T60" s="10">
        <v>14</v>
      </c>
      <c r="U60" s="10">
        <v>118.06908156718062</v>
      </c>
      <c r="V60" s="10">
        <v>1.2252450557066794</v>
      </c>
      <c r="X60" s="10">
        <v>14</v>
      </c>
      <c r="Y60" s="10">
        <v>-0.41766175372275322</v>
      </c>
      <c r="Z60" s="10">
        <v>0.10367589817440875</v>
      </c>
      <c r="AB60" s="10">
        <v>14</v>
      </c>
      <c r="AC60" s="10">
        <v>-0.46887716772385329</v>
      </c>
      <c r="AD60" s="10">
        <v>-2.0418930102492294E-2</v>
      </c>
      <c r="AF60" s="10">
        <v>14</v>
      </c>
      <c r="AG60" s="10">
        <v>0.90516477688653296</v>
      </c>
      <c r="AH60" s="10">
        <v>4.4262883609818005E-2</v>
      </c>
    </row>
    <row r="61" spans="1:34">
      <c r="A61">
        <v>5</v>
      </c>
      <c r="B61" s="6" t="s">
        <v>36</v>
      </c>
      <c r="C61" s="4">
        <v>82</v>
      </c>
      <c r="D61" s="4">
        <v>33</v>
      </c>
      <c r="E61" s="4">
        <v>26</v>
      </c>
      <c r="F61" s="4">
        <v>34</v>
      </c>
      <c r="G61" s="4">
        <v>93</v>
      </c>
      <c r="H61">
        <v>45.282054042415758</v>
      </c>
      <c r="I61">
        <v>149.13015394552696</v>
      </c>
      <c r="J61">
        <v>103.8480999031112</v>
      </c>
      <c r="K61">
        <v>117.27581009796535</v>
      </c>
      <c r="L61">
        <f>COS(RADIANS(Table5[[#This Row],[scaled (max-min)]]))</f>
        <v>-0.23934864228673217</v>
      </c>
      <c r="M61">
        <f>COS(RADIANS(Table5[[#This Row],[scaled(fingmax-min)]]))</f>
        <v>-0.45827434525598271</v>
      </c>
      <c r="N61">
        <f>SIN(RADIANS(180-Table5[[#This Row],[scaled (max-min)]]))</f>
        <v>0.97093368848521155</v>
      </c>
      <c r="P61" s="10">
        <v>15</v>
      </c>
      <c r="Q61" s="10">
        <v>116.91470121675916</v>
      </c>
      <c r="R61" s="10">
        <v>-1.5562126819330331</v>
      </c>
      <c r="T61" s="10">
        <v>15</v>
      </c>
      <c r="U61" s="10">
        <v>120.15013660006575</v>
      </c>
      <c r="V61" s="10">
        <v>-4.7970307759727291</v>
      </c>
      <c r="X61" s="10">
        <v>15</v>
      </c>
      <c r="Y61" s="10">
        <v>-0.45193352722896779</v>
      </c>
      <c r="Z61" s="10">
        <v>2.3652983375289705E-2</v>
      </c>
      <c r="AB61" s="10">
        <v>15</v>
      </c>
      <c r="AC61" s="10">
        <v>-0.50300607940630304</v>
      </c>
      <c r="AD61" s="10">
        <v>7.4810431375648412E-2</v>
      </c>
      <c r="AF61" s="10">
        <v>15</v>
      </c>
      <c r="AG61" s="10">
        <v>0.89388977756761201</v>
      </c>
      <c r="AH61" s="10">
        <v>9.7560467221911029E-3</v>
      </c>
    </row>
    <row r="62" spans="1:34">
      <c r="A62">
        <v>5</v>
      </c>
      <c r="B62" s="6" t="s">
        <v>28</v>
      </c>
      <c r="C62" s="9">
        <v>91.8</v>
      </c>
      <c r="D62" s="9">
        <v>36</v>
      </c>
      <c r="E62" s="9">
        <v>28</v>
      </c>
      <c r="F62" s="9">
        <v>29</v>
      </c>
      <c r="G62" s="9">
        <v>93</v>
      </c>
      <c r="H62">
        <v>49.576918936376359</v>
      </c>
      <c r="I62">
        <v>153.28991280008614</v>
      </c>
      <c r="J62">
        <v>103.71299386370978</v>
      </c>
      <c r="K62">
        <v>112.98094520400474</v>
      </c>
      <c r="L62">
        <f>COS(RADIANS(Table5[[#This Row],[scaled (max-min)]]))</f>
        <v>-0.23705847342466133</v>
      </c>
      <c r="M62">
        <f>COS(RADIANS(Table5[[#This Row],[scaled(fingmax-min)]]))</f>
        <v>-0.39042497557436512</v>
      </c>
      <c r="N62">
        <f>SIN(RADIANS(180-Table5[[#This Row],[scaled (max-min)]]))</f>
        <v>0.97149538350810971</v>
      </c>
      <c r="P62" s="10">
        <v>16</v>
      </c>
      <c r="Q62" s="10">
        <v>115.11243267692214</v>
      </c>
      <c r="R62" s="10">
        <v>1.1498129899957235</v>
      </c>
      <c r="T62" s="10">
        <v>16</v>
      </c>
      <c r="U62" s="10">
        <v>118.47705365423526</v>
      </c>
      <c r="V62" s="10">
        <v>-2.5291582941319035</v>
      </c>
      <c r="X62" s="10">
        <v>16</v>
      </c>
      <c r="Y62" s="10">
        <v>-0.42216405203020185</v>
      </c>
      <c r="Z62" s="10">
        <v>-2.031631419153701E-2</v>
      </c>
      <c r="AB62" s="10">
        <v>16</v>
      </c>
      <c r="AC62" s="10">
        <v>-0.47550698203087766</v>
      </c>
      <c r="AD62" s="10">
        <v>3.7953377474720662E-2</v>
      </c>
      <c r="AF62" s="10">
        <v>16</v>
      </c>
      <c r="AG62" s="10">
        <v>0.90375998684982617</v>
      </c>
      <c r="AH62" s="10">
        <v>-6.9817949270543078E-3</v>
      </c>
    </row>
    <row r="63" spans="1:34">
      <c r="A63">
        <v>5</v>
      </c>
      <c r="B63" s="6" t="s">
        <v>20</v>
      </c>
      <c r="C63" s="16">
        <v>88.6</v>
      </c>
      <c r="D63" s="16">
        <v>40</v>
      </c>
      <c r="E63" s="16">
        <v>27</v>
      </c>
      <c r="F63" s="16">
        <v>28</v>
      </c>
      <c r="G63" s="16">
        <v>95</v>
      </c>
      <c r="H63">
        <v>47.826461405964046</v>
      </c>
      <c r="I63">
        <v>155.26913553665628</v>
      </c>
      <c r="J63">
        <v>107.44267413069224</v>
      </c>
      <c r="K63">
        <v>114.73140273441706</v>
      </c>
      <c r="L63">
        <f>COS(RADIANS(Table5[[#This Row],[scaled (max-min)]]))</f>
        <v>-0.29975143134217413</v>
      </c>
      <c r="M63">
        <f>COS(RADIANS(Table5[[#This Row],[scaled(fingmax-min)]]))</f>
        <v>-0.41836494718411393</v>
      </c>
      <c r="N63">
        <f>SIN(RADIANS(180-Table5[[#This Row],[scaled (max-min)]]))</f>
        <v>0.95401733705856617</v>
      </c>
      <c r="P63" s="10">
        <v>17</v>
      </c>
      <c r="Q63" s="10">
        <v>116.91470121675916</v>
      </c>
      <c r="R63" s="10">
        <v>-9.7083280872511324</v>
      </c>
      <c r="T63" s="10">
        <v>17</v>
      </c>
      <c r="U63" s="10">
        <v>120.15013660006575</v>
      </c>
      <c r="V63" s="10">
        <v>-5.6275830420939457</v>
      </c>
      <c r="X63" s="10">
        <v>17</v>
      </c>
      <c r="Y63" s="10">
        <v>-0.45193352722896779</v>
      </c>
      <c r="Z63" s="10">
        <v>0.15611922140231388</v>
      </c>
      <c r="AB63" s="10">
        <v>17</v>
      </c>
      <c r="AC63" s="10">
        <v>-0.50300607940630304</v>
      </c>
      <c r="AD63" s="10">
        <v>8.7954677333640596E-2</v>
      </c>
      <c r="AF63" s="10">
        <v>17</v>
      </c>
      <c r="AG63" s="10">
        <v>0.89388977756761201</v>
      </c>
      <c r="AH63" s="10">
        <v>6.1355686419678923E-2</v>
      </c>
    </row>
    <row r="64" spans="1:34">
      <c r="A64">
        <v>5</v>
      </c>
      <c r="B64" s="6" t="s">
        <v>18</v>
      </c>
      <c r="C64" s="16">
        <v>81.099999999999994</v>
      </c>
      <c r="D64" s="16">
        <v>38</v>
      </c>
      <c r="E64" s="16">
        <v>27</v>
      </c>
      <c r="F64" s="16">
        <v>34</v>
      </c>
      <c r="G64" s="16">
        <v>99</v>
      </c>
      <c r="H64">
        <v>41.298309828829801</v>
      </c>
      <c r="I64">
        <v>154.97846915706751</v>
      </c>
      <c r="J64">
        <v>113.68015932823771</v>
      </c>
      <c r="K64">
        <v>121.2595543115513</v>
      </c>
      <c r="L64">
        <f>COS(RADIANS(Table5[[#This Row],[scaled (max-min)]]))</f>
        <v>-0.40163067229770738</v>
      </c>
      <c r="M64">
        <f>COS(RADIANS(Table5[[#This Row],[scaled(fingmax-min)]]))</f>
        <v>-0.5189158110873251</v>
      </c>
      <c r="N64">
        <f>SIN(RADIANS(180-Table5[[#This Row],[scaled (max-min)]]))</f>
        <v>0.91580172694185913</v>
      </c>
      <c r="P64" s="10">
        <v>18</v>
      </c>
      <c r="Q64" s="10">
        <v>114.13550264111397</v>
      </c>
      <c r="R64" s="10">
        <v>-4.195250730251658</v>
      </c>
      <c r="T64" s="10">
        <v>18</v>
      </c>
      <c r="U64" s="10">
        <v>117.11798355389769</v>
      </c>
      <c r="V64" s="10">
        <v>-7.3413660493223745</v>
      </c>
      <c r="X64" s="10">
        <v>18</v>
      </c>
      <c r="Y64" s="10">
        <v>-0.40579555933518252</v>
      </c>
      <c r="Z64" s="10">
        <v>6.4755514083288335E-2</v>
      </c>
      <c r="AB64" s="10">
        <v>18</v>
      </c>
      <c r="AC64" s="10">
        <v>-0.45345154994059977</v>
      </c>
      <c r="AD64" s="10">
        <v>0.11509763277622204</v>
      </c>
      <c r="AF64" s="10">
        <v>18</v>
      </c>
      <c r="AG64" s="10">
        <v>0.90832244080831881</v>
      </c>
      <c r="AH64" s="10">
        <v>3.172632789178742E-2</v>
      </c>
    </row>
    <row r="65" spans="2:34">
      <c r="B65" s="6"/>
      <c r="C65" s="4"/>
      <c r="D65" s="4"/>
      <c r="E65" s="4"/>
      <c r="F65" s="4"/>
      <c r="G65" s="4"/>
      <c r="P65" s="10">
        <v>19</v>
      </c>
      <c r="Q65" s="10">
        <v>113.84888753903492</v>
      </c>
      <c r="R65" s="10">
        <v>1.5968009096678344</v>
      </c>
      <c r="T65" s="10">
        <v>19</v>
      </c>
      <c r="U65" s="10">
        <v>116.45259846452181</v>
      </c>
      <c r="V65" s="10">
        <v>-1.3164158829737431</v>
      </c>
      <c r="X65" s="10">
        <v>19</v>
      </c>
      <c r="Y65" s="10">
        <v>-0.40085099114223471</v>
      </c>
      <c r="Z65" s="10">
        <v>-2.8804337894079546E-2</v>
      </c>
      <c r="AB65" s="10">
        <v>19</v>
      </c>
      <c r="AC65" s="10">
        <v>-0.44277242174447173</v>
      </c>
      <c r="AD65" s="10">
        <v>1.8001212234879882E-2</v>
      </c>
      <c r="AF65" s="10">
        <v>19</v>
      </c>
      <c r="AG65" s="10">
        <v>0.90912656166050432</v>
      </c>
      <c r="AH65" s="10">
        <v>-6.1335947827458881E-3</v>
      </c>
    </row>
    <row r="66" spans="2:34">
      <c r="B66" s="6"/>
      <c r="C66" s="4"/>
      <c r="D66" s="4"/>
      <c r="E66" s="4"/>
      <c r="F66" s="4"/>
      <c r="G66" s="4"/>
      <c r="P66" s="10">
        <v>20</v>
      </c>
      <c r="Q66" s="10">
        <v>113.10338520387033</v>
      </c>
      <c r="R66" s="10">
        <v>2.5952906492893106</v>
      </c>
      <c r="T66" s="10">
        <v>20</v>
      </c>
      <c r="U66" s="10">
        <v>116.15399086458869</v>
      </c>
      <c r="V66" s="10">
        <v>-0.25077200357027607</v>
      </c>
      <c r="X66" s="10">
        <v>20</v>
      </c>
      <c r="Y66" s="10">
        <v>-0.38864843928776399</v>
      </c>
      <c r="Z66" s="10">
        <v>-4.4989820643302203E-2</v>
      </c>
      <c r="AB66" s="10">
        <v>20</v>
      </c>
      <c r="AC66" s="10">
        <v>-0.43774326770804023</v>
      </c>
      <c r="AD66" s="10">
        <v>8.9094312288706679E-4</v>
      </c>
      <c r="AF66" s="10">
        <v>20</v>
      </c>
      <c r="AG66" s="10">
        <v>0.91277694161137002</v>
      </c>
      <c r="AH66" s="10">
        <v>-1.1689898355305206E-2</v>
      </c>
    </row>
    <row r="67" spans="2:34">
      <c r="B67" s="6"/>
      <c r="C67" s="4"/>
      <c r="D67" s="4"/>
      <c r="E67" s="4"/>
      <c r="F67" s="4"/>
      <c r="G67" s="4"/>
      <c r="P67" s="10">
        <v>21</v>
      </c>
      <c r="Q67" s="10">
        <v>114.81321778156514</v>
      </c>
      <c r="R67" s="10">
        <v>3.8109613550480788</v>
      </c>
      <c r="T67" s="10">
        <v>21</v>
      </c>
      <c r="U67" s="10">
        <v>118.87464163479761</v>
      </c>
      <c r="V67" s="10">
        <v>-0.34950437567391646</v>
      </c>
      <c r="X67" s="10">
        <v>21</v>
      </c>
      <c r="Y67" s="10">
        <v>-0.41730292966723082</v>
      </c>
      <c r="Z67" s="10">
        <v>-6.1759399320914121E-2</v>
      </c>
      <c r="AB67" s="10">
        <v>21</v>
      </c>
      <c r="AC67" s="10">
        <v>-0.48198597868800619</v>
      </c>
      <c r="AD67" s="10">
        <v>4.4417027445324275E-3</v>
      </c>
      <c r="AF67" s="10">
        <v>21</v>
      </c>
      <c r="AG67" s="10">
        <v>0.90329149520279461</v>
      </c>
      <c r="AH67" s="10">
        <v>-2.5510608566240878E-2</v>
      </c>
    </row>
    <row r="68" spans="2:34">
      <c r="B68" s="6"/>
      <c r="C68" s="4"/>
      <c r="D68" s="4"/>
      <c r="E68" s="4"/>
      <c r="F68" s="4"/>
      <c r="G68" s="4"/>
      <c r="P68" s="10">
        <v>22</v>
      </c>
      <c r="Q68" s="10">
        <v>113.35412262449186</v>
      </c>
      <c r="R68" s="10">
        <v>-9.9915432295085651</v>
      </c>
      <c r="T68" s="10">
        <v>22</v>
      </c>
      <c r="U68" s="10">
        <v>116.30454994932214</v>
      </c>
      <c r="V68" s="10">
        <v>-7.7126670771076817</v>
      </c>
      <c r="X68" s="10">
        <v>22</v>
      </c>
      <c r="Y68" s="10">
        <v>-0.39270846770971346</v>
      </c>
      <c r="Z68" s="10">
        <v>0.16159594594130441</v>
      </c>
      <c r="AB68" s="10">
        <v>22</v>
      </c>
      <c r="AC68" s="10">
        <v>-0.44032376812596097</v>
      </c>
      <c r="AD68" s="10">
        <v>0.12149873295296226</v>
      </c>
      <c r="AF68" s="10">
        <v>22</v>
      </c>
      <c r="AG68" s="10">
        <v>0.91077148239014216</v>
      </c>
      <c r="AH68" s="10">
        <v>6.2155545850849148E-2</v>
      </c>
    </row>
    <row r="69" spans="2:34">
      <c r="P69" s="10">
        <v>23</v>
      </c>
      <c r="Q69" s="10">
        <v>114.04443755822096</v>
      </c>
      <c r="R69" s="10">
        <v>6.149418900693604E-2</v>
      </c>
      <c r="T69" s="10">
        <v>23</v>
      </c>
      <c r="U69" s="10">
        <v>116.99823496028385</v>
      </c>
      <c r="V69" s="10">
        <v>-2.9665846211730695</v>
      </c>
      <c r="X69" s="10">
        <v>23</v>
      </c>
      <c r="Y69" s="10">
        <v>-0.40413239221178499</v>
      </c>
      <c r="Z69" s="10">
        <v>-4.2925703520955705E-3</v>
      </c>
      <c r="AB69" s="10">
        <v>23</v>
      </c>
      <c r="AC69" s="10">
        <v>-0.45170007202011087</v>
      </c>
      <c r="AD69" s="10">
        <v>4.4458846116991635E-2</v>
      </c>
      <c r="AF69" s="10">
        <v>23</v>
      </c>
      <c r="AG69" s="10">
        <v>0.90701314928383514</v>
      </c>
      <c r="AH69" s="10">
        <v>5.7787492092949977E-3</v>
      </c>
    </row>
    <row r="70" spans="2:34">
      <c r="P70" s="10">
        <v>24</v>
      </c>
      <c r="Q70" s="10">
        <v>113.41197954965276</v>
      </c>
      <c r="R70" s="10">
        <v>-1.6690578142668073</v>
      </c>
      <c r="T70" s="10">
        <v>24</v>
      </c>
      <c r="U70" s="10">
        <v>116.56966557442327</v>
      </c>
      <c r="V70" s="10">
        <v>-5.1378645194119628</v>
      </c>
      <c r="X70" s="10">
        <v>24</v>
      </c>
      <c r="Y70" s="10">
        <v>-0.3937499529198506</v>
      </c>
      <c r="Z70" s="10">
        <v>2.3307262461994604E-2</v>
      </c>
      <c r="AB70" s="10">
        <v>24</v>
      </c>
      <c r="AC70" s="10">
        <v>-0.44458033763942262</v>
      </c>
      <c r="AD70" s="10">
        <v>7.9186842720392447E-2</v>
      </c>
      <c r="AF70" s="10">
        <v>24</v>
      </c>
      <c r="AG70" s="10">
        <v>0.91054346388823548</v>
      </c>
      <c r="AH70" s="10">
        <v>1.8311860199614616E-2</v>
      </c>
    </row>
    <row r="71" spans="2:34">
      <c r="P71" s="10">
        <v>25</v>
      </c>
      <c r="Q71" s="10">
        <v>111.59177216908699</v>
      </c>
      <c r="R71" s="10">
        <v>-6.4023007512809897</v>
      </c>
      <c r="T71" s="10">
        <v>25</v>
      </c>
      <c r="U71" s="10">
        <v>114.63916962627154</v>
      </c>
      <c r="V71" s="10">
        <v>0.34199088616252027</v>
      </c>
      <c r="X71" s="10">
        <v>25</v>
      </c>
      <c r="Y71" s="10">
        <v>-0.36353820783558544</v>
      </c>
      <c r="Z71" s="10">
        <v>0.10152636353139516</v>
      </c>
      <c r="AB71" s="10">
        <v>25</v>
      </c>
      <c r="AC71" s="10">
        <v>-0.41303192637489361</v>
      </c>
      <c r="AD71" s="10">
        <v>-9.2883084761357648E-3</v>
      </c>
      <c r="AF71" s="10">
        <v>25</v>
      </c>
      <c r="AG71" s="10">
        <v>0.91981300398592847</v>
      </c>
      <c r="AH71" s="10">
        <v>4.5251653663659686E-2</v>
      </c>
    </row>
    <row r="72" spans="2:34">
      <c r="P72" s="10">
        <v>26</v>
      </c>
      <c r="Q72" s="10">
        <v>112.66647721448817</v>
      </c>
      <c r="R72" s="10">
        <v>-4.2107769238217827</v>
      </c>
      <c r="T72" s="10">
        <v>26</v>
      </c>
      <c r="U72" s="10">
        <v>116.27105797449015</v>
      </c>
      <c r="V72" s="10">
        <v>-8.0231303181223979</v>
      </c>
      <c r="X72" s="10">
        <v>26</v>
      </c>
      <c r="Y72" s="10">
        <v>-0.38154740106537988</v>
      </c>
      <c r="Z72" s="10">
        <v>6.4976060316785433E-2</v>
      </c>
      <c r="AB72" s="10">
        <v>26</v>
      </c>
      <c r="AC72" s="10">
        <v>-0.43955118360299117</v>
      </c>
      <c r="AD72" s="10">
        <v>0.12642172720034073</v>
      </c>
      <c r="AF72" s="10">
        <v>26</v>
      </c>
      <c r="AG72" s="10">
        <v>0.91419384383910129</v>
      </c>
      <c r="AH72" s="10">
        <v>3.4374860165325205E-2</v>
      </c>
    </row>
    <row r="73" spans="2:34">
      <c r="G73" t="s">
        <v>141</v>
      </c>
      <c r="H73">
        <f>AVEDEV(Table5[scaled min])*scale</f>
        <v>100.26210128495846</v>
      </c>
      <c r="I73">
        <f>AVEDEV(Table5[scaled max])*scale</f>
        <v>82.48965986394559</v>
      </c>
      <c r="J73">
        <f>AVEDEV(Table5[scaled (max-min)])*scale</f>
        <v>121.61987906273623</v>
      </c>
      <c r="K73">
        <f>AVEDEV(Table5[scaled(fingmax-min)])*scale</f>
        <v>99.691458805744531</v>
      </c>
      <c r="P73" s="10">
        <v>27</v>
      </c>
      <c r="Q73" s="10">
        <v>112.18965114067387</v>
      </c>
      <c r="R73" s="10">
        <v>5.5894424108386573</v>
      </c>
      <c r="T73" s="10">
        <v>27</v>
      </c>
      <c r="U73" s="10">
        <v>116.38042246161166</v>
      </c>
      <c r="V73" s="10">
        <v>3.6034294061889653</v>
      </c>
      <c r="X73" s="10">
        <v>27</v>
      </c>
      <c r="Y73" s="10">
        <v>-0.37384714751835779</v>
      </c>
      <c r="Z73" s="10">
        <v>-9.221669024779755E-2</v>
      </c>
      <c r="AB73" s="10">
        <v>27</v>
      </c>
      <c r="AC73" s="10">
        <v>-0.44115184387358403</v>
      </c>
      <c r="AD73" s="10">
        <v>-5.8604057338832394E-2</v>
      </c>
      <c r="AF73" s="10">
        <v>27</v>
      </c>
      <c r="AG73" s="10">
        <v>0.91643943375325998</v>
      </c>
      <c r="AH73" s="10">
        <v>-3.1688339305401825E-2</v>
      </c>
    </row>
    <row r="74" spans="2:34">
      <c r="P74" s="10">
        <v>28</v>
      </c>
      <c r="Q74" s="10">
        <v>114.77734010010761</v>
      </c>
      <c r="R74" s="10">
        <v>-10.985758659694213</v>
      </c>
      <c r="T74" s="10">
        <v>28</v>
      </c>
      <c r="U74" s="10">
        <v>118.3598156301552</v>
      </c>
      <c r="V74" s="10">
        <v>-2.4151498964917124</v>
      </c>
      <c r="X74" s="10">
        <v>28</v>
      </c>
      <c r="Y74" s="10">
        <v>-0.41641838989623248</v>
      </c>
      <c r="Z74" s="10">
        <v>0.17802762518908688</v>
      </c>
      <c r="AB74" s="10">
        <v>28</v>
      </c>
      <c r="AC74" s="10">
        <v>-0.47388735090979883</v>
      </c>
      <c r="AD74" s="10">
        <v>3.6384432375691111E-2</v>
      </c>
      <c r="AF74" s="10">
        <v>28</v>
      </c>
      <c r="AG74" s="10">
        <v>0.90209015683375215</v>
      </c>
      <c r="AH74" s="10">
        <v>6.907916069143738E-2</v>
      </c>
    </row>
    <row r="75" spans="2:34">
      <c r="G75" t="s">
        <v>135</v>
      </c>
      <c r="H75">
        <f>PEARSON(Table5[aw length],Table5[scaled min])</f>
        <v>-0.29140521030418393</v>
      </c>
      <c r="I75">
        <f>PEARSON(Table5[aw length],Table5[scaled max])</f>
        <v>0.53321556667216008</v>
      </c>
      <c r="J75">
        <f>PEARSON(Table5[aw length],Table5[scaled (max-min)])</f>
        <v>0.538349447514893</v>
      </c>
      <c r="K75">
        <f>PEARSON(Table5[aw length],Table5[scaled(fingmax-min)])</f>
        <v>0.32522320275371075</v>
      </c>
      <c r="L75">
        <f>PEARSON(Table5[aw length],Table5[cos maxmin])</f>
        <v>-0.54521228330325211</v>
      </c>
      <c r="M75">
        <f>PEARSON(Table5[aw length],Table5[cos fingmaxmin])</f>
        <v>-0.33517292342272281</v>
      </c>
      <c r="N75">
        <f>PEARSON(Table5[aw length],Table5[sin(180-maxmin)])</f>
        <v>-0.38977484980561161</v>
      </c>
      <c r="P75" s="10">
        <v>29</v>
      </c>
      <c r="Q75" s="10">
        <v>112.76425222408119</v>
      </c>
      <c r="R75" s="10">
        <v>3.229396177253733</v>
      </c>
      <c r="T75" s="10">
        <v>29</v>
      </c>
      <c r="U75" s="10">
        <v>116.54387622237117</v>
      </c>
      <c r="V75" s="10">
        <v>-0.64550180101257126</v>
      </c>
      <c r="X75" s="10">
        <v>29</v>
      </c>
      <c r="Y75" s="10">
        <v>-0.38318810160015498</v>
      </c>
      <c r="Z75" s="10">
        <v>-5.5083405504581129E-2</v>
      </c>
      <c r="AB75" s="10">
        <v>29</v>
      </c>
      <c r="AC75" s="10">
        <v>-0.44401500874081073</v>
      </c>
      <c r="AD75" s="10">
        <v>7.2387425319335175E-3</v>
      </c>
      <c r="AF75" s="10">
        <v>29</v>
      </c>
      <c r="AG75" s="10">
        <v>0.91313713765076665</v>
      </c>
      <c r="AH75" s="10">
        <v>-1.4294500666882204E-2</v>
      </c>
    </row>
    <row r="76" spans="2:34">
      <c r="P76" s="10">
        <v>30</v>
      </c>
      <c r="Q76" s="10">
        <v>111.27057803002661</v>
      </c>
      <c r="R76" s="10">
        <v>-2.9252233093892812</v>
      </c>
      <c r="T76" s="10">
        <v>30</v>
      </c>
      <c r="U76" s="10">
        <v>115.28646798637521</v>
      </c>
      <c r="V76" s="10">
        <v>-7.2511574039659052</v>
      </c>
      <c r="X76" s="10">
        <v>30</v>
      </c>
      <c r="Y76" s="10">
        <v>-0.35852014003347565</v>
      </c>
      <c r="Z76" s="10">
        <v>4.3776227560082148E-2</v>
      </c>
      <c r="AB76" s="10">
        <v>30</v>
      </c>
      <c r="AC76" s="10">
        <v>-0.42335298129676779</v>
      </c>
      <c r="AD76" s="10">
        <v>0.11374992289876851</v>
      </c>
      <c r="AF76" s="10">
        <v>30</v>
      </c>
      <c r="AG76" s="10">
        <v>0.92077386920984594</v>
      </c>
      <c r="AH76" s="10">
        <v>2.8402757957585401E-2</v>
      </c>
    </row>
    <row r="77" spans="2:34">
      <c r="I77" t="s">
        <v>154</v>
      </c>
      <c r="P77" s="10">
        <v>31</v>
      </c>
      <c r="Q77" s="10">
        <v>112.23223874883142</v>
      </c>
      <c r="R77" s="10">
        <v>-2.5309791945198583</v>
      </c>
      <c r="T77" s="10">
        <v>31</v>
      </c>
      <c r="U77" s="10">
        <v>117.04831812052129</v>
      </c>
      <c r="V77" s="10">
        <v>4.0061549120979549</v>
      </c>
      <c r="X77" s="10">
        <v>31</v>
      </c>
      <c r="Y77" s="10">
        <v>-0.3747092207007337</v>
      </c>
      <c r="Z77" s="10">
        <v>3.7593265663922903E-2</v>
      </c>
      <c r="AB77" s="10">
        <v>31</v>
      </c>
      <c r="AC77" s="10">
        <v>-0.4519628188691221</v>
      </c>
      <c r="AD77" s="10">
        <v>-6.3889961049761246E-2</v>
      </c>
      <c r="AF77" s="10">
        <v>31</v>
      </c>
      <c r="AG77" s="10">
        <v>0.91527477440948435</v>
      </c>
      <c r="AH77" s="10">
        <v>2.6188359685323848E-2</v>
      </c>
    </row>
    <row r="78" spans="2:34">
      <c r="I78" t="s">
        <v>155</v>
      </c>
      <c r="P78" s="10">
        <v>32</v>
      </c>
      <c r="Q78" s="10">
        <v>111.81060007645262</v>
      </c>
      <c r="R78" s="10">
        <v>7.5585462256251077</v>
      </c>
      <c r="T78" s="10">
        <v>32</v>
      </c>
      <c r="U78" s="10">
        <v>116.76260519661422</v>
      </c>
      <c r="V78" s="10">
        <v>2.3783141703789994</v>
      </c>
      <c r="X78" s="10">
        <v>32</v>
      </c>
      <c r="Y78" s="10">
        <v>-0.36778759450611076</v>
      </c>
      <c r="Z78" s="10">
        <v>-0.12264694052458824</v>
      </c>
      <c r="AB78" s="10">
        <v>32</v>
      </c>
      <c r="AC78" s="10">
        <v>-0.44721632928199662</v>
      </c>
      <c r="AD78" s="10">
        <v>-3.9742955681553505E-2</v>
      </c>
      <c r="AF78" s="10">
        <v>32</v>
      </c>
      <c r="AG78" s="10">
        <v>0.91762831747908447</v>
      </c>
      <c r="AH78" s="10">
        <v>-4.6150281697790674E-2</v>
      </c>
    </row>
    <row r="79" spans="2:34">
      <c r="P79" s="10">
        <v>33</v>
      </c>
      <c r="Q79" s="10">
        <v>111.42887948850594</v>
      </c>
      <c r="R79" s="10">
        <v>-1.9235506048801483</v>
      </c>
      <c r="T79" s="10">
        <v>33</v>
      </c>
      <c r="U79" s="10">
        <v>116.48459489548706</v>
      </c>
      <c r="V79" s="10">
        <v>1.5356440968694898</v>
      </c>
      <c r="X79" s="10">
        <v>33</v>
      </c>
      <c r="Y79" s="10">
        <v>-0.36146518363612584</v>
      </c>
      <c r="Z79" s="10">
        <v>2.7570653999378525E-2</v>
      </c>
      <c r="AB79" s="10">
        <v>33</v>
      </c>
      <c r="AC79" s="10">
        <v>-0.44267709531922905</v>
      </c>
      <c r="AD79" s="10">
        <v>-2.7106327977142852E-2</v>
      </c>
      <c r="AF79" s="10">
        <v>33</v>
      </c>
      <c r="AG79" s="10">
        <v>0.91915317286225673</v>
      </c>
      <c r="AH79" s="10">
        <v>2.3457267923678526E-2</v>
      </c>
    </row>
    <row r="80" spans="2:34">
      <c r="G80" t="s">
        <v>156</v>
      </c>
      <c r="H80">
        <f>INTERCEPT(Table5[scaled min],Table5[aw length])</f>
        <v>67.789581474733254</v>
      </c>
      <c r="I80">
        <f>INTERCEPT(Table5[scaled max],Table5[aw length])</f>
        <v>135.73914787079505</v>
      </c>
      <c r="J80">
        <f>INTERCEPT(Table5[scaled (max-min)],Table5[aw length])</f>
        <v>67.949566396061869</v>
      </c>
      <c r="K80">
        <f>INTERCEPT(Table5[scaled(fingmax-min)],Table5[aw length])</f>
        <v>94.14256907654007</v>
      </c>
      <c r="P80" s="10">
        <v>34</v>
      </c>
      <c r="Q80" s="10">
        <v>111.41094064777718</v>
      </c>
      <c r="R80" s="10">
        <v>11.034963109354919</v>
      </c>
      <c r="T80" s="10">
        <v>34</v>
      </c>
      <c r="U80" s="10">
        <v>116.22718189316585</v>
      </c>
      <c r="V80" s="10">
        <v>6.0895368063712425</v>
      </c>
      <c r="X80" s="10">
        <v>34</v>
      </c>
      <c r="Y80" s="10">
        <v>-0.36102291375062667</v>
      </c>
      <c r="Z80" s="10">
        <v>-0.17548016082907625</v>
      </c>
      <c r="AB80" s="10">
        <v>34</v>
      </c>
      <c r="AC80" s="10">
        <v>-0.43862778143012537</v>
      </c>
      <c r="AD80" s="10">
        <v>-9.5971189528205159E-2</v>
      </c>
      <c r="AF80" s="10">
        <v>34</v>
      </c>
      <c r="AG80" s="10">
        <v>0.91855250367773555</v>
      </c>
      <c r="AH80" s="10">
        <v>-7.4654138371506362E-2</v>
      </c>
    </row>
    <row r="81" spans="7:34">
      <c r="G81" t="s">
        <v>157</v>
      </c>
      <c r="H81">
        <f>SLOPE(Table5[scaled min],Table5[aw length])</f>
        <v>-0.18328696984844159</v>
      </c>
      <c r="I81">
        <f>SLOPE(Table5[scaled max],Table5[aw length])</f>
        <v>0.22034709506885147</v>
      </c>
      <c r="J81">
        <f>SLOPE(Table5[scaled (max-min)],Table5[aw length])</f>
        <v>0.40363406491729309</v>
      </c>
      <c r="K81">
        <f>SLOPE(Table5[scaled(fingmax-min)],Table5[aw length])</f>
        <v>0.20369340613584988</v>
      </c>
      <c r="P81" s="10">
        <v>35</v>
      </c>
      <c r="Q81" s="10">
        <v>110.24113011650837</v>
      </c>
      <c r="R81" s="10">
        <v>-0.74764319649543154</v>
      </c>
      <c r="T81" s="10">
        <v>35</v>
      </c>
      <c r="U81" s="10">
        <v>114.98266833319595</v>
      </c>
      <c r="V81" s="10">
        <v>-2.2191846428094522</v>
      </c>
      <c r="X81" s="10">
        <v>35</v>
      </c>
      <c r="Y81" s="10">
        <v>-0.34163587784379507</v>
      </c>
      <c r="Z81" s="10">
        <v>7.9361752459969903E-3</v>
      </c>
      <c r="AB81" s="10">
        <v>35</v>
      </c>
      <c r="AC81" s="10">
        <v>-0.41824841843538835</v>
      </c>
      <c r="AD81" s="10">
        <v>3.1320441534703813E-2</v>
      </c>
      <c r="AF81" s="10">
        <v>35</v>
      </c>
      <c r="AG81" s="10">
        <v>0.92489239835554937</v>
      </c>
      <c r="AH81" s="10">
        <v>1.7787032037487882E-2</v>
      </c>
    </row>
    <row r="82" spans="7:34">
      <c r="G82" s="61" t="s">
        <v>161</v>
      </c>
      <c r="H82">
        <f t="array" ref="H82">MEDIAN(ABS(H80+H81*Table5[aw length]-Table5[scaled min]))</f>
        <v>3.5666094648211484</v>
      </c>
      <c r="I82">
        <f t="array" ref="I82">MEDIAN(ABS(I80+I81*Table5[aw length]-Table5[scaled max]))</f>
        <v>2.9415149121120976</v>
      </c>
      <c r="J82">
        <f t="array" ref="J82">MEDIAN(ABS(J80+J81*Table5[aw length]-Table5[scaled (max-min)]))</f>
        <v>5.0639634048972368</v>
      </c>
      <c r="K82">
        <f t="array" ref="K82">MEDIAN(ABS(K80+K81*Table5[aw length]-Table5[scaled(fingmax-min)]))</f>
        <v>3.4521440364626983</v>
      </c>
      <c r="P82" s="10">
        <v>36</v>
      </c>
      <c r="Q82" s="10">
        <v>111.00991033985255</v>
      </c>
      <c r="R82" s="10">
        <v>-1.8410008770470938</v>
      </c>
      <c r="T82" s="10">
        <v>36</v>
      </c>
      <c r="U82" s="10">
        <v>116.85907500770969</v>
      </c>
      <c r="V82" s="10">
        <v>-1.29442865180485</v>
      </c>
      <c r="X82" s="10">
        <v>36</v>
      </c>
      <c r="Y82" s="10">
        <v>-0.35480641529924084</v>
      </c>
      <c r="Z82" s="10">
        <v>2.6452266018287762E-2</v>
      </c>
      <c r="AB82" s="10">
        <v>36</v>
      </c>
      <c r="AC82" s="10">
        <v>-0.44853432510328356</v>
      </c>
      <c r="AD82" s="10">
        <v>1.700512300146112E-2</v>
      </c>
      <c r="AF82" s="10">
        <v>36</v>
      </c>
      <c r="AG82" s="10">
        <v>0.92117074427450896</v>
      </c>
      <c r="AH82" s="10">
        <v>2.3383940563791783E-2</v>
      </c>
    </row>
    <row r="83" spans="7:34">
      <c r="G83" s="61"/>
      <c r="H83">
        <f>H82*scale</f>
        <v>66.260470637447298</v>
      </c>
      <c r="I83">
        <f>I82*scale</f>
        <v>54.647464037218548</v>
      </c>
      <c r="J83">
        <f>J82*scale</f>
        <v>94.07831213618087</v>
      </c>
      <c r="K83">
        <f>K82*scale</f>
        <v>64.133931909404012</v>
      </c>
      <c r="P83" s="10">
        <v>37</v>
      </c>
      <c r="Q83" s="10">
        <v>110.50980637785868</v>
      </c>
      <c r="R83" s="10">
        <v>14.802390844662597</v>
      </c>
      <c r="T83" s="10">
        <v>37</v>
      </c>
      <c r="U83" s="10">
        <v>115.39064042025059</v>
      </c>
      <c r="V83" s="10">
        <v>9.8596556288397323</v>
      </c>
      <c r="X83" s="10">
        <v>37</v>
      </c>
      <c r="Y83" s="10">
        <v>-0.34613817615124365</v>
      </c>
      <c r="Z83" s="10">
        <v>-0.23189317588866221</v>
      </c>
      <c r="AB83" s="10">
        <v>37</v>
      </c>
      <c r="AC83" s="10">
        <v>-0.42487823274241271</v>
      </c>
      <c r="AD83" s="10">
        <v>-0.15227117689965314</v>
      </c>
      <c r="AF83" s="10">
        <v>37</v>
      </c>
      <c r="AG83" s="10">
        <v>0.92348760831884269</v>
      </c>
      <c r="AH83" s="10">
        <v>-0.10747305204002344</v>
      </c>
    </row>
    <row r="84" spans="7:34" ht="12.75" customHeight="1">
      <c r="G84" s="61" t="s">
        <v>158</v>
      </c>
      <c r="H84">
        <f t="array" ref="H84">AVERAGE(ABS(H80+H81*Table5[aw length]-Table5[scaled min]))</f>
        <v>5.3373657071255476</v>
      </c>
      <c r="I84">
        <f t="array" ref="I84">AVERAGE(ABS(I80+I81*Table5[aw length]-Table5[scaled max]))</f>
        <v>3.6088435628937883</v>
      </c>
      <c r="J84">
        <f t="array" ref="J84">AVERAGE(ABS(J80+J81*Table5[aw length]-Table5[scaled (max-min)]))</f>
        <v>6.0371252540441507</v>
      </c>
      <c r="K84">
        <f t="array" ref="K84">AVERAGE(ABS(K80+K81*Table5[aw length]-Table5[scaled(fingmax-min)]))</f>
        <v>5.3526089620104775</v>
      </c>
      <c r="P84" s="10">
        <v>38</v>
      </c>
      <c r="Q84" s="10">
        <v>109.85940952856171</v>
      </c>
      <c r="R84" s="10">
        <v>-8.255900001163738</v>
      </c>
      <c r="T84" s="10">
        <v>38</v>
      </c>
      <c r="U84" s="10">
        <v>114.70465803206878</v>
      </c>
      <c r="V84" s="10">
        <v>-7.2872826418222445</v>
      </c>
      <c r="X84" s="10">
        <v>38</v>
      </c>
      <c r="Y84" s="10">
        <v>-0.33531346697381015</v>
      </c>
      <c r="Z84" s="10">
        <v>0.1341755444701328</v>
      </c>
      <c r="AB84" s="10">
        <v>38</v>
      </c>
      <c r="AC84" s="10">
        <v>-0.41370918447262078</v>
      </c>
      <c r="AD84" s="10">
        <v>0.11437902517889975</v>
      </c>
      <c r="AF84" s="10">
        <v>38</v>
      </c>
      <c r="AG84" s="10">
        <v>0.92641725373872164</v>
      </c>
      <c r="AH84" s="10">
        <v>5.3145677435638694E-2</v>
      </c>
    </row>
    <row r="85" spans="7:34">
      <c r="G85" s="61"/>
      <c r="H85" s="33">
        <f>H84*scale</f>
        <v>99.157580106978415</v>
      </c>
      <c r="I85" s="33">
        <f>I84*scale</f>
        <v>67.045095711440794</v>
      </c>
      <c r="J85">
        <f>J84*scale</f>
        <v>112.15771296963223</v>
      </c>
      <c r="K85">
        <f>K84*scale</f>
        <v>99.440769296230656</v>
      </c>
      <c r="P85" s="10">
        <v>39</v>
      </c>
      <c r="Q85" s="10">
        <v>110.33890512610141</v>
      </c>
      <c r="R85" s="10">
        <v>-10.905704566299491</v>
      </c>
      <c r="T85" s="10">
        <v>39</v>
      </c>
      <c r="U85" s="10">
        <v>115.25548658107697</v>
      </c>
      <c r="V85" s="10">
        <v>-15.933169862377426</v>
      </c>
      <c r="X85" s="10">
        <v>39</v>
      </c>
      <c r="Y85" s="10">
        <v>-0.34327657837857017</v>
      </c>
      <c r="Z85" s="10">
        <v>0.17937896539001005</v>
      </c>
      <c r="AB85" s="10">
        <v>39</v>
      </c>
      <c r="AC85" s="10">
        <v>-0.42271224357320797</v>
      </c>
      <c r="AD85" s="10">
        <v>0.26072405421985473</v>
      </c>
      <c r="AF85" s="10">
        <v>39</v>
      </c>
      <c r="AG85" s="10">
        <v>0.92383569216721473</v>
      </c>
      <c r="AH85" s="10">
        <v>6.2641663100838074E-2</v>
      </c>
    </row>
    <row r="86" spans="7:34">
      <c r="P86" s="10">
        <v>40</v>
      </c>
      <c r="Q86" s="10">
        <v>109.59340279093682</v>
      </c>
      <c r="R86" s="10">
        <v>10.879737482504893</v>
      </c>
      <c r="T86" s="10">
        <v>40</v>
      </c>
      <c r="U86" s="10">
        <v>114.95687898114384</v>
      </c>
      <c r="V86" s="10">
        <v>5.6319895730600678</v>
      </c>
      <c r="X86" s="10">
        <v>40</v>
      </c>
      <c r="Y86" s="10">
        <v>-0.33107402652409945</v>
      </c>
      <c r="Z86" s="10">
        <v>-0.1760603569751098</v>
      </c>
      <c r="AB86" s="10">
        <v>40</v>
      </c>
      <c r="AC86" s="10">
        <v>-0.41768308953677646</v>
      </c>
      <c r="AD86" s="10">
        <v>-9.1191091320010798E-2</v>
      </c>
      <c r="AF86" s="10">
        <v>40</v>
      </c>
      <c r="AG86" s="10">
        <v>0.92748607211808054</v>
      </c>
      <c r="AH86" s="10">
        <v>-6.5619077116602975E-2</v>
      </c>
    </row>
    <row r="87" spans="7:34">
      <c r="G87" t="s">
        <v>156</v>
      </c>
      <c r="H87">
        <f t="shared" ref="H87:K88" si="0">H80*scale</f>
        <v>1259.3948446375944</v>
      </c>
      <c r="I87">
        <f t="shared" si="0"/>
        <v>2521.7618891436305</v>
      </c>
      <c r="J87">
        <f t="shared" si="0"/>
        <v>1262.3670445060372</v>
      </c>
      <c r="K87">
        <f t="shared" si="0"/>
        <v>1748.9806483039613</v>
      </c>
      <c r="P87" s="10">
        <v>41</v>
      </c>
      <c r="Q87" s="10">
        <v>109.88138877226505</v>
      </c>
      <c r="R87" s="10">
        <v>5.8016772197685356</v>
      </c>
      <c r="T87" s="10">
        <v>41</v>
      </c>
      <c r="U87" s="10">
        <v>114.45494765252748</v>
      </c>
      <c r="V87" s="10">
        <v>1.1403801545561834</v>
      </c>
      <c r="X87" s="10">
        <v>41</v>
      </c>
      <c r="Y87" s="10">
        <v>-0.33547041241294884</v>
      </c>
      <c r="Z87" s="10">
        <v>-9.7922336144632582E-2</v>
      </c>
      <c r="AB87" s="10">
        <v>41</v>
      </c>
      <c r="AC87" s="10">
        <v>-0.40986712620787513</v>
      </c>
      <c r="AD87" s="10">
        <v>-2.2145081089236962E-2</v>
      </c>
      <c r="AF87" s="10">
        <v>41</v>
      </c>
      <c r="AG87" s="10">
        <v>0.92498789686777261</v>
      </c>
      <c r="AH87" s="10">
        <v>-2.3782745141649353E-2</v>
      </c>
    </row>
    <row r="88" spans="7:34">
      <c r="G88" t="s">
        <v>162</v>
      </c>
      <c r="H88">
        <f t="shared" si="0"/>
        <v>-3.4051053258443478</v>
      </c>
      <c r="I88">
        <f t="shared" si="0"/>
        <v>4.0936083321891221</v>
      </c>
      <c r="J88">
        <f t="shared" si="0"/>
        <v>7.4987136580334708</v>
      </c>
      <c r="K88">
        <f t="shared" si="0"/>
        <v>3.784216099191819</v>
      </c>
      <c r="P88" s="10">
        <v>42</v>
      </c>
      <c r="Q88" s="10">
        <v>110.32363580909804</v>
      </c>
      <c r="R88" s="10">
        <v>9.3103398610494565</v>
      </c>
      <c r="T88" s="10">
        <v>42</v>
      </c>
      <c r="U88" s="10">
        <v>115.65826661488546</v>
      </c>
      <c r="V88" s="10">
        <v>3.8540597926933913</v>
      </c>
      <c r="X88" s="10">
        <v>42</v>
      </c>
      <c r="Y88" s="10">
        <v>-0.34309716635080895</v>
      </c>
      <c r="Z88" s="10">
        <v>-0.15136021281884021</v>
      </c>
      <c r="AB88" s="10">
        <v>42</v>
      </c>
      <c r="AC88" s="10">
        <v>-0.42926664905528433</v>
      </c>
      <c r="AD88" s="10">
        <v>-6.3344144839855343E-2</v>
      </c>
      <c r="AF88" s="10">
        <v>42</v>
      </c>
      <c r="AG88" s="10">
        <v>0.92289905132534578</v>
      </c>
      <c r="AH88" s="10">
        <v>-5.3697175933511643E-2</v>
      </c>
    </row>
    <row r="89" spans="7:34">
      <c r="P89" s="10">
        <v>43</v>
      </c>
      <c r="Q89" s="10">
        <v>109.04345047495828</v>
      </c>
      <c r="R89" s="10">
        <v>-2.5702025473019177</v>
      </c>
      <c r="T89" s="10">
        <v>43</v>
      </c>
      <c r="U89" s="10">
        <v>115.20390787697276</v>
      </c>
      <c r="V89" s="10">
        <v>3.5182365949833212</v>
      </c>
      <c r="X89" s="10">
        <v>43</v>
      </c>
      <c r="Y89" s="10">
        <v>-0.32215287573917895</v>
      </c>
      <c r="Z89" s="10">
        <v>3.8585246172307852E-2</v>
      </c>
      <c r="AB89" s="10">
        <v>43</v>
      </c>
      <c r="AC89" s="10">
        <v>-0.42158158577598426</v>
      </c>
      <c r="AD89" s="10">
        <v>-5.8980887474141874E-2</v>
      </c>
      <c r="AF89" s="10">
        <v>43</v>
      </c>
      <c r="AG89" s="10">
        <v>0.92902303969227706</v>
      </c>
      <c r="AH89" s="10">
        <v>2.9929200756550367E-2</v>
      </c>
    </row>
    <row r="90" spans="7:34">
      <c r="P90" s="10">
        <v>44</v>
      </c>
      <c r="Q90" s="10">
        <v>110.19532216549831</v>
      </c>
      <c r="R90" s="10">
        <v>19.059172397963863</v>
      </c>
      <c r="T90" s="10">
        <v>44</v>
      </c>
      <c r="U90" s="10">
        <v>116.19100843462145</v>
      </c>
      <c r="V90" s="10">
        <v>15.151977893293278</v>
      </c>
      <c r="X90" s="10">
        <v>44</v>
      </c>
      <c r="Y90" s="10">
        <v>-0.34109764176051138</v>
      </c>
      <c r="Z90" s="10">
        <v>-0.29166843203265169</v>
      </c>
      <c r="AB90" s="10">
        <v>44</v>
      </c>
      <c r="AC90" s="10">
        <v>-0.43791163488161761</v>
      </c>
      <c r="AD90" s="10">
        <v>-0.22265348541223512</v>
      </c>
      <c r="AF90" s="10">
        <v>44</v>
      </c>
      <c r="AG90" s="10">
        <v>0.92208247582994207</v>
      </c>
      <c r="AH90" s="10">
        <v>-0.14773946665611015</v>
      </c>
    </row>
    <row r="91" spans="7:34">
      <c r="P91" s="10">
        <v>45</v>
      </c>
      <c r="Q91" s="10">
        <v>108.21948285017862</v>
      </c>
      <c r="R91" s="10">
        <v>1.6319543335871316</v>
      </c>
      <c r="T91" s="10">
        <v>45</v>
      </c>
      <c r="U91" s="10">
        <v>113.7225786134876</v>
      </c>
      <c r="V91" s="10">
        <v>0.19764961344749565</v>
      </c>
      <c r="X91" s="10">
        <v>45</v>
      </c>
      <c r="Y91" s="10">
        <v>-0.30820371093133397</v>
      </c>
      <c r="Z91" s="10">
        <v>-3.1378746727819484E-2</v>
      </c>
      <c r="AB91" s="10">
        <v>45</v>
      </c>
      <c r="AC91" s="10">
        <v>-0.39764282896580744</v>
      </c>
      <c r="AD91" s="10">
        <v>-7.821509150795436E-3</v>
      </c>
      <c r="AF91" s="10">
        <v>45</v>
      </c>
      <c r="AG91" s="10">
        <v>0.93263674061787638</v>
      </c>
      <c r="AH91" s="10">
        <v>7.9395478617817483E-3</v>
      </c>
    </row>
    <row r="92" spans="7:34">
      <c r="P92" s="10">
        <v>46</v>
      </c>
      <c r="Q92" s="10">
        <v>108.05125112214675</v>
      </c>
      <c r="R92" s="10">
        <v>5.628908206090955</v>
      </c>
      <c r="T92" s="10">
        <v>46</v>
      </c>
      <c r="U92" s="10">
        <v>114.2476178104437</v>
      </c>
      <c r="V92" s="10">
        <v>7.0119365011075985</v>
      </c>
      <c r="X92" s="10">
        <v>46</v>
      </c>
      <c r="Y92" s="10">
        <v>-0.30560497101639839</v>
      </c>
      <c r="Z92" s="10">
        <v>-9.6025701281308995E-2</v>
      </c>
      <c r="AB92" s="10">
        <v>46</v>
      </c>
      <c r="AC92" s="10">
        <v>-0.40608055916778274</v>
      </c>
      <c r="AD92" s="10">
        <v>-0.11283525191954236</v>
      </c>
      <c r="AF92" s="10">
        <v>46</v>
      </c>
      <c r="AG92" s="10">
        <v>0.93264885280890064</v>
      </c>
      <c r="AH92" s="10">
        <v>-1.6847125867041512E-2</v>
      </c>
    </row>
    <row r="93" spans="7:34">
      <c r="P93" s="10">
        <v>47</v>
      </c>
      <c r="Q93" s="10">
        <v>108.12971641176183</v>
      </c>
      <c r="R93" s="10">
        <v>1.0418844064102046</v>
      </c>
      <c r="T93" s="10">
        <v>47</v>
      </c>
      <c r="U93" s="10">
        <v>115.43033947399573</v>
      </c>
      <c r="V93" s="10">
        <v>6.704443602761728</v>
      </c>
      <c r="X93" s="10">
        <v>47</v>
      </c>
      <c r="Y93" s="10">
        <v>-0.30735158396977269</v>
      </c>
      <c r="Z93" s="10">
        <v>-2.1046933527919698E-2</v>
      </c>
      <c r="AB93" s="10">
        <v>47</v>
      </c>
      <c r="AC93" s="10">
        <v>-0.42499016194152806</v>
      </c>
      <c r="AD93" s="10">
        <v>-0.10692258973245838</v>
      </c>
      <c r="AF93" s="10">
        <v>47</v>
      </c>
      <c r="AG93" s="10">
        <v>0.93268553183416703</v>
      </c>
      <c r="AH93" s="10">
        <v>1.1853728178521816E-2</v>
      </c>
    </row>
    <row r="94" spans="7:34">
      <c r="P94" s="10">
        <v>48</v>
      </c>
      <c r="Q94" s="10">
        <v>107.43940147803274</v>
      </c>
      <c r="R94" s="10">
        <v>-9.5332759532184213</v>
      </c>
      <c r="T94" s="10">
        <v>48</v>
      </c>
      <c r="U94" s="10">
        <v>114.73665446303403</v>
      </c>
      <c r="V94" s="10">
        <v>-8.3296138773951043</v>
      </c>
      <c r="X94" s="10">
        <v>48</v>
      </c>
      <c r="Y94" s="10">
        <v>-0.29592765946770128</v>
      </c>
      <c r="Z94" s="10">
        <v>0.1583772182785764</v>
      </c>
      <c r="AB94" s="10">
        <v>48</v>
      </c>
      <c r="AC94" s="10">
        <v>-0.41361385804737816</v>
      </c>
      <c r="AD94" s="10">
        <v>0.13115452149158185</v>
      </c>
      <c r="AF94" s="10">
        <v>48</v>
      </c>
      <c r="AG94" s="10">
        <v>0.93644386494047405</v>
      </c>
      <c r="AH94" s="10">
        <v>5.4050898361521993E-2</v>
      </c>
    </row>
    <row r="95" spans="7:34">
      <c r="P95" s="10">
        <v>49</v>
      </c>
      <c r="Q95" s="10">
        <v>107.19270446038578</v>
      </c>
      <c r="R95" s="10">
        <v>-0.89385636048265837</v>
      </c>
      <c r="T95" s="10">
        <v>49</v>
      </c>
      <c r="U95" s="10">
        <v>114.07897199643804</v>
      </c>
      <c r="V95" s="10">
        <v>-1.2191377839286019</v>
      </c>
      <c r="X95" s="10">
        <v>49</v>
      </c>
      <c r="Y95" s="10">
        <v>-0.29158230659939133</v>
      </c>
      <c r="Z95" s="10">
        <v>1.0934894092196668E-2</v>
      </c>
      <c r="AB95" s="10">
        <v>49</v>
      </c>
      <c r="AC95" s="10">
        <v>-0.40314198547560803</v>
      </c>
      <c r="AD95" s="10">
        <v>1.4663905115855247E-2</v>
      </c>
      <c r="AF95" s="10">
        <v>49</v>
      </c>
      <c r="AG95" s="10">
        <v>0.93641929810623181</v>
      </c>
      <c r="AH95" s="10">
        <v>2.3391636324615606E-2</v>
      </c>
    </row>
    <row r="96" spans="7:34">
      <c r="P96" s="10">
        <v>50</v>
      </c>
      <c r="Q96" s="10">
        <v>107.29314899370422</v>
      </c>
      <c r="R96" s="10">
        <v>0.14952513698801795</v>
      </c>
      <c r="T96" s="10">
        <v>50</v>
      </c>
      <c r="U96" s="10">
        <v>115.0119832804488</v>
      </c>
      <c r="V96" s="10">
        <v>-0.28058054603174298</v>
      </c>
      <c r="X96" s="10">
        <v>50</v>
      </c>
      <c r="Y96" s="10">
        <v>-0.29348586499190449</v>
      </c>
      <c r="Z96" s="10">
        <v>-6.2655663502696468E-3</v>
      </c>
      <c r="AB96" s="10">
        <v>50</v>
      </c>
      <c r="AC96" s="10">
        <v>-0.41820952998460775</v>
      </c>
      <c r="AD96" s="10">
        <v>-1.5541719950618038E-4</v>
      </c>
      <c r="AF96" s="10">
        <v>50</v>
      </c>
      <c r="AG96" s="10">
        <v>0.93502662026054928</v>
      </c>
      <c r="AH96" s="10">
        <v>1.8990716798016893E-2</v>
      </c>
    </row>
    <row r="97" spans="16:34">
      <c r="P97" s="10">
        <v>51</v>
      </c>
      <c r="Q97" s="10">
        <v>106.70327859329356</v>
      </c>
      <c r="R97" s="10">
        <v>4.6811546072662509</v>
      </c>
      <c r="T97" s="10">
        <v>51</v>
      </c>
      <c r="U97" s="10">
        <v>115.2513095534978</v>
      </c>
      <c r="V97" s="10">
        <v>5.3391738139260383</v>
      </c>
      <c r="X97" s="10">
        <v>51</v>
      </c>
      <c r="Y97" s="10">
        <v>-0.28396549888234601</v>
      </c>
      <c r="Z97" s="10">
        <v>-8.0658311663868831E-2</v>
      </c>
      <c r="AB97" s="10">
        <v>51</v>
      </c>
      <c r="AC97" s="10">
        <v>-0.42190077059945746</v>
      </c>
      <c r="AD97" s="10">
        <v>-8.69976718296393E-2</v>
      </c>
      <c r="AF97" s="10">
        <v>51</v>
      </c>
      <c r="AG97" s="10">
        <v>0.93739227552117377</v>
      </c>
      <c r="AH97" s="10">
        <v>-6.2373599551558412E-3</v>
      </c>
    </row>
    <row r="98" spans="16:34">
      <c r="P98" s="10">
        <v>52</v>
      </c>
      <c r="Q98" s="10">
        <v>105.62857354789237</v>
      </c>
      <c r="R98" s="10">
        <v>-1.9155796841825889</v>
      </c>
      <c r="T98" s="10">
        <v>52</v>
      </c>
      <c r="U98" s="10">
        <v>113.61942120527921</v>
      </c>
      <c r="V98" s="10">
        <v>-0.63847600127446924</v>
      </c>
      <c r="X98" s="10">
        <v>52</v>
      </c>
      <c r="Y98" s="10">
        <v>-0.26595630565255157</v>
      </c>
      <c r="Z98" s="10">
        <v>2.8897832227890247E-2</v>
      </c>
      <c r="AB98" s="10">
        <v>52</v>
      </c>
      <c r="AC98" s="10">
        <v>-0.39538151337135996</v>
      </c>
      <c r="AD98" s="10">
        <v>4.9565377969948421E-3</v>
      </c>
      <c r="AF98" s="10">
        <v>52</v>
      </c>
      <c r="AG98" s="10">
        <v>0.94301143566800094</v>
      </c>
      <c r="AH98" s="10">
        <v>2.848394784010877E-2</v>
      </c>
    </row>
    <row r="99" spans="16:34">
      <c r="P99" s="10">
        <v>53</v>
      </c>
      <c r="Q99" s="10">
        <v>104.7068309135197</v>
      </c>
      <c r="R99" s="10">
        <v>-0.85873101040849065</v>
      </c>
      <c r="T99" s="10">
        <v>53</v>
      </c>
      <c r="U99" s="10">
        <v>111.86527369391304</v>
      </c>
      <c r="V99" s="10">
        <v>5.4105364040523085</v>
      </c>
      <c r="X99" s="10">
        <v>53</v>
      </c>
      <c r="Y99" s="10">
        <v>-0.25036644030993144</v>
      </c>
      <c r="Z99" s="10">
        <v>1.1017798023199271E-2</v>
      </c>
      <c r="AB99" s="10">
        <v>53</v>
      </c>
      <c r="AC99" s="10">
        <v>-0.36697893142336357</v>
      </c>
      <c r="AD99" s="10">
        <v>-9.1295413832619132E-2</v>
      </c>
      <c r="AF99" s="10">
        <v>53</v>
      </c>
      <c r="AG99" s="10">
        <v>0.94768184278193468</v>
      </c>
      <c r="AH99" s="10">
        <v>2.3251845703276874E-2</v>
      </c>
    </row>
    <row r="100" spans="16:34">
      <c r="P100" s="10">
        <v>54</v>
      </c>
      <c r="Q100" s="10">
        <v>104.7700268861314</v>
      </c>
      <c r="R100" s="10">
        <v>7.6898719189068032</v>
      </c>
      <c r="T100" s="10">
        <v>54</v>
      </c>
      <c r="U100" s="10">
        <v>113.45077539127358</v>
      </c>
      <c r="V100" s="10">
        <v>11.187506447460407</v>
      </c>
      <c r="X100" s="10">
        <v>54</v>
      </c>
      <c r="Y100" s="10">
        <v>-0.25193364123554451</v>
      </c>
      <c r="Z100" s="10">
        <v>-0.13010307612046651</v>
      </c>
      <c r="AB100" s="10">
        <v>54</v>
      </c>
      <c r="AC100" s="10">
        <v>-0.39244293967918537</v>
      </c>
      <c r="AD100" s="10">
        <v>-0.17595065231808776</v>
      </c>
      <c r="AF100" s="10">
        <v>54</v>
      </c>
      <c r="AG100" s="10">
        <v>0.94678188096533211</v>
      </c>
      <c r="AH100" s="10">
        <v>-2.263473543500949E-2</v>
      </c>
    </row>
    <row r="101" spans="16:34">
      <c r="P101" s="10">
        <v>55</v>
      </c>
      <c r="Q101" s="10">
        <v>104.04383427094477</v>
      </c>
      <c r="R101" s="10">
        <v>0.9545509158352985</v>
      </c>
      <c r="T101" s="10">
        <v>55</v>
      </c>
      <c r="U101" s="10">
        <v>112.24226437566945</v>
      </c>
      <c r="V101" s="10">
        <v>-1.3584232732902848</v>
      </c>
      <c r="X101" s="10">
        <v>55</v>
      </c>
      <c r="Y101" s="10">
        <v>-0.23962517696247465</v>
      </c>
      <c r="Z101" s="10">
        <v>-1.9166644569715952E-2</v>
      </c>
      <c r="AB101" s="10">
        <v>55</v>
      </c>
      <c r="AC101" s="10">
        <v>-0.37296800800682811</v>
      </c>
      <c r="AD101" s="10">
        <v>1.6493492791162911E-2</v>
      </c>
      <c r="AF101" s="10">
        <v>55</v>
      </c>
      <c r="AG101" s="10">
        <v>0.94933887570259679</v>
      </c>
      <c r="AH101" s="10">
        <v>1.6594244708982631E-2</v>
      </c>
    </row>
    <row r="102" spans="16:34">
      <c r="P102" s="10">
        <v>56</v>
      </c>
      <c r="Q102" s="10">
        <v>103.92812042062297</v>
      </c>
      <c r="R102" s="10">
        <v>0.79036380803458428</v>
      </c>
      <c r="T102" s="10">
        <v>56</v>
      </c>
      <c r="U102" s="10">
        <v>111.7120331254672</v>
      </c>
      <c r="V102" s="10">
        <v>2.9353993215131027</v>
      </c>
      <c r="X102" s="10">
        <v>56</v>
      </c>
      <c r="Y102" s="10">
        <v>-0.23754220654220035</v>
      </c>
      <c r="Z102" s="10">
        <v>-1.6527775710150044E-2</v>
      </c>
      <c r="AB102" s="10">
        <v>56</v>
      </c>
      <c r="AC102" s="10">
        <v>-0.36445486897990487</v>
      </c>
      <c r="AD102" s="10">
        <v>-5.2578493817340755E-2</v>
      </c>
      <c r="AF102" s="10">
        <v>56</v>
      </c>
      <c r="AG102" s="10">
        <v>0.94979491270641025</v>
      </c>
      <c r="AH102" s="10">
        <v>1.7390924720033007E-2</v>
      </c>
    </row>
    <row r="103" spans="16:34">
      <c r="P103" s="10">
        <v>57</v>
      </c>
      <c r="Q103" s="10">
        <v>103.44862482308328</v>
      </c>
      <c r="R103" s="10">
        <v>7.5498680179114643</v>
      </c>
      <c r="T103" s="10">
        <v>57</v>
      </c>
      <c r="U103" s="10">
        <v>111.16120457645903</v>
      </c>
      <c r="V103" s="10">
        <v>6.9510787694339626</v>
      </c>
      <c r="X103" s="10">
        <v>57</v>
      </c>
      <c r="Y103" s="10">
        <v>-0.22957909513744026</v>
      </c>
      <c r="Z103" s="10">
        <v>-0.12876429655625929</v>
      </c>
      <c r="AB103" s="10">
        <v>57</v>
      </c>
      <c r="AC103" s="10">
        <v>-0.35545180987931779</v>
      </c>
      <c r="AD103" s="10">
        <v>-0.11574917513191124</v>
      </c>
      <c r="AF103" s="10">
        <v>57</v>
      </c>
      <c r="AG103" s="10">
        <v>0.95237647427791716</v>
      </c>
      <c r="AH103" s="10">
        <v>-1.8786621275296067E-2</v>
      </c>
    </row>
    <row r="104" spans="16:34">
      <c r="P104" s="10">
        <v>58</v>
      </c>
      <c r="Q104" s="10">
        <v>103.2983319357802</v>
      </c>
      <c r="R104" s="10">
        <v>8.7411771610009623</v>
      </c>
      <c r="T104" s="10">
        <v>58</v>
      </c>
      <c r="U104" s="10">
        <v>111.94365677573633</v>
      </c>
      <c r="V104" s="10">
        <v>15.398360664246454</v>
      </c>
      <c r="X104" s="10">
        <v>58</v>
      </c>
      <c r="Y104" s="10">
        <v>-0.22742262510800393</v>
      </c>
      <c r="Z104" s="10">
        <v>-0.14782323163852612</v>
      </c>
      <c r="AB104" s="10">
        <v>58</v>
      </c>
      <c r="AC104" s="10">
        <v>-0.36793885397039666</v>
      </c>
      <c r="AD104" s="10">
        <v>-0.23863273794246403</v>
      </c>
      <c r="AF104" s="10">
        <v>58</v>
      </c>
      <c r="AG104" s="10">
        <v>0.95298925565346249</v>
      </c>
      <c r="AH104" s="10">
        <v>-2.6063936658149545E-2</v>
      </c>
    </row>
    <row r="105" spans="16:34">
      <c r="P105" s="10">
        <v>59</v>
      </c>
      <c r="Q105" s="10">
        <v>102.37925882513294</v>
      </c>
      <c r="R105" s="10">
        <v>-0.76982831592850687</v>
      </c>
      <c r="T105" s="10">
        <v>59</v>
      </c>
      <c r="U105" s="10">
        <v>110.84970230049986</v>
      </c>
      <c r="V105" s="10">
        <v>-2.1873059176814564</v>
      </c>
      <c r="X105" s="10">
        <v>59</v>
      </c>
      <c r="Y105" s="10">
        <v>-0.21209561762312171</v>
      </c>
      <c r="Z105" s="10">
        <v>1.0856467545672016E-2</v>
      </c>
      <c r="AB105" s="10">
        <v>59</v>
      </c>
      <c r="AC105" s="10">
        <v>-0.35013999139358037</v>
      </c>
      <c r="AD105" s="10">
        <v>3.0148730483403274E-2</v>
      </c>
      <c r="AF105" s="10">
        <v>59</v>
      </c>
      <c r="AG105" s="10">
        <v>0.95732369111004834</v>
      </c>
      <c r="AH105" s="10">
        <v>2.2218449114712824E-2</v>
      </c>
    </row>
    <row r="106" spans="16:34">
      <c r="P106" s="10">
        <v>60</v>
      </c>
      <c r="Q106" s="10">
        <v>102.59274768504774</v>
      </c>
      <c r="R106" s="10">
        <v>-13.505655425385768</v>
      </c>
      <c r="T106" s="10">
        <v>60</v>
      </c>
      <c r="U106" s="10">
        <v>111.65275179858311</v>
      </c>
      <c r="V106" s="10">
        <v>-9.1718604216857074</v>
      </c>
      <c r="X106" s="10">
        <v>60</v>
      </c>
      <c r="Y106" s="10">
        <v>-0.21581928857817118</v>
      </c>
      <c r="Z106" s="10">
        <v>0.23175186026483563</v>
      </c>
      <c r="AB106" s="10">
        <v>60</v>
      </c>
      <c r="AC106" s="10">
        <v>-0.36311695555832324</v>
      </c>
      <c r="AD106" s="10">
        <v>0.14700295655943282</v>
      </c>
      <c r="AF106" s="10">
        <v>60</v>
      </c>
      <c r="AG106" s="10">
        <v>0.95581094791790033</v>
      </c>
      <c r="AH106" s="10">
        <v>4.4062120606024546E-2</v>
      </c>
    </row>
    <row r="107" spans="16:34">
      <c r="P107" s="10">
        <v>61</v>
      </c>
      <c r="Q107" s="10">
        <v>102.89867250710475</v>
      </c>
      <c r="R107" s="10">
        <v>7.0582658070302386</v>
      </c>
      <c r="T107" s="10">
        <v>61</v>
      </c>
      <c r="U107" s="10">
        <v>111.40823347228795</v>
      </c>
      <c r="V107" s="10">
        <v>-1.5890925529209596</v>
      </c>
      <c r="X107" s="10">
        <v>61</v>
      </c>
      <c r="Y107" s="10">
        <v>-0.22065794435251981</v>
      </c>
      <c r="Z107" s="10">
        <v>-0.12065585935241488</v>
      </c>
      <c r="AB107" s="10">
        <v>61</v>
      </c>
      <c r="AC107" s="10">
        <v>-0.35935030611852548</v>
      </c>
      <c r="AD107" s="10">
        <v>2.0298082800131401E-2</v>
      </c>
      <c r="AF107" s="10">
        <v>61</v>
      </c>
      <c r="AG107" s="10">
        <v>0.95391344185211357</v>
      </c>
      <c r="AH107" s="10">
        <v>-1.3964035021900578E-2</v>
      </c>
    </row>
    <row r="108" spans="16:34">
      <c r="P108" s="10">
        <v>62</v>
      </c>
      <c r="Q108" s="10">
        <v>102.51962144288348</v>
      </c>
      <c r="R108" s="10">
        <v>-1.5022891143228208</v>
      </c>
      <c r="T108" s="10">
        <v>62</v>
      </c>
      <c r="U108" s="10">
        <v>111.79041620729049</v>
      </c>
      <c r="V108" s="10">
        <v>2.2272390839141565</v>
      </c>
      <c r="X108" s="10">
        <v>62</v>
      </c>
      <c r="Y108" s="10">
        <v>-0.21459839134027278</v>
      </c>
      <c r="Z108" s="10">
        <v>2.3492456389227923E-2</v>
      </c>
      <c r="AB108" s="10">
        <v>62</v>
      </c>
      <c r="AC108" s="10">
        <v>-0.36541479152693801</v>
      </c>
      <c r="AD108" s="10">
        <v>-4.1603334837327366E-2</v>
      </c>
      <c r="AF108" s="10">
        <v>62</v>
      </c>
      <c r="AG108" s="10">
        <v>0.95510232557793784</v>
      </c>
      <c r="AH108" s="10">
        <v>2.6467092052056884E-2</v>
      </c>
    </row>
    <row r="109" spans="16:34" ht="13.5" thickBot="1">
      <c r="P109" s="11">
        <v>63</v>
      </c>
      <c r="Q109" s="11">
        <v>98.203610245899085</v>
      </c>
      <c r="R109" s="11">
        <v>-27.925324100996491</v>
      </c>
      <c r="T109" s="11">
        <v>63</v>
      </c>
      <c r="U109" s="11">
        <v>109.36938806268169</v>
      </c>
      <c r="V109" s="11">
        <v>-30.465846239019299</v>
      </c>
      <c r="X109" s="11">
        <v>63</v>
      </c>
      <c r="Y109" s="11">
        <v>-0.14351708365426241</v>
      </c>
      <c r="Z109" s="11">
        <v>0.48096911473461756</v>
      </c>
      <c r="AB109" s="11">
        <v>63</v>
      </c>
      <c r="AC109" s="11">
        <v>-0.3254651704346011</v>
      </c>
      <c r="AD109" s="11">
        <v>0.51792647653001866</v>
      </c>
      <c r="AF109" s="11">
        <v>63</v>
      </c>
      <c r="AG109" s="11">
        <v>0.97402582619476885</v>
      </c>
      <c r="AH109" s="11">
        <v>-3.268310076489489E-2</v>
      </c>
    </row>
    <row r="111" spans="16:34">
      <c r="R111">
        <f>AVEDEV(R47:R109)</f>
        <v>5.9491465930286278</v>
      </c>
    </row>
    <row r="112" spans="16:34">
      <c r="R112">
        <f>R111*scale</f>
        <v>110.52324540528585</v>
      </c>
    </row>
    <row r="114" spans="18:18">
      <c r="R114">
        <f t="array" ref="R114">MEDIAN(ABS(R47:R109))</f>
        <v>4.5965300984676674</v>
      </c>
    </row>
    <row r="115" spans="18:18">
      <c r="R115">
        <f>R114*scale</f>
        <v>85.39433616933232</v>
      </c>
    </row>
  </sheetData>
  <mergeCells count="2">
    <mergeCell ref="G82:G83"/>
    <mergeCell ref="G84:G85"/>
  </mergeCells>
  <conditionalFormatting sqref="G2:G6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5:G6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40"/>
  <sheetViews>
    <sheetView workbookViewId="0">
      <selection activeCell="B2" sqref="B2"/>
    </sheetView>
  </sheetViews>
  <sheetFormatPr defaultRowHeight="12.75"/>
  <sheetData>
    <row r="1" spans="1:15">
      <c r="A1" t="s">
        <v>72</v>
      </c>
      <c r="B1" t="s">
        <v>40</v>
      </c>
      <c r="C1" s="3" t="s">
        <v>3</v>
      </c>
      <c r="D1" s="3" t="s">
        <v>4</v>
      </c>
      <c r="E1" s="3" t="s">
        <v>5</v>
      </c>
      <c r="F1" s="2" t="s">
        <v>6</v>
      </c>
    </row>
    <row r="2" spans="1:15">
      <c r="A2">
        <v>2</v>
      </c>
      <c r="B2">
        <v>0.67561444974672713</v>
      </c>
      <c r="C2" s="4">
        <v>38</v>
      </c>
      <c r="D2" s="4">
        <v>35</v>
      </c>
      <c r="E2" s="4">
        <v>35</v>
      </c>
      <c r="F2" s="4">
        <v>108</v>
      </c>
      <c r="J2" t="s">
        <v>41</v>
      </c>
    </row>
    <row r="3" spans="1:15" ht="13.5" thickBot="1">
      <c r="A3">
        <v>2</v>
      </c>
      <c r="B3">
        <v>0.7289490767383513</v>
      </c>
      <c r="C3" s="9">
        <v>40</v>
      </c>
      <c r="D3" s="9">
        <v>31</v>
      </c>
      <c r="E3" s="9">
        <v>36</v>
      </c>
      <c r="F3" s="9">
        <v>107</v>
      </c>
    </row>
    <row r="4" spans="1:15">
      <c r="A4">
        <v>2</v>
      </c>
      <c r="B4">
        <v>0.71369214506990897</v>
      </c>
      <c r="C4" s="9">
        <v>40</v>
      </c>
      <c r="D4" s="9">
        <v>34</v>
      </c>
      <c r="E4" s="9">
        <v>35</v>
      </c>
      <c r="F4" s="9">
        <v>109</v>
      </c>
      <c r="J4" s="13" t="s">
        <v>42</v>
      </c>
      <c r="K4" s="13"/>
    </row>
    <row r="5" spans="1:15">
      <c r="A5">
        <v>2</v>
      </c>
      <c r="B5">
        <v>0.64057555761472806</v>
      </c>
      <c r="C5" s="9">
        <v>48</v>
      </c>
      <c r="D5" s="9">
        <v>33</v>
      </c>
      <c r="E5" s="9">
        <v>36</v>
      </c>
      <c r="F5" s="9">
        <v>117</v>
      </c>
      <c r="J5" s="10" t="s">
        <v>43</v>
      </c>
      <c r="K5" s="10">
        <v>0.43989255329304294</v>
      </c>
    </row>
    <row r="6" spans="1:15">
      <c r="A6">
        <v>2</v>
      </c>
      <c r="B6">
        <v>0.72677164507899505</v>
      </c>
      <c r="C6" s="4">
        <v>37</v>
      </c>
      <c r="D6" s="4">
        <v>33</v>
      </c>
      <c r="E6" s="4">
        <v>29</v>
      </c>
      <c r="F6" s="4">
        <v>99</v>
      </c>
      <c r="J6" s="10" t="s">
        <v>44</v>
      </c>
      <c r="K6" s="10">
        <v>0.19350545844267264</v>
      </c>
    </row>
    <row r="7" spans="1:15">
      <c r="A7">
        <v>2</v>
      </c>
      <c r="B7">
        <v>0.60656412290588713</v>
      </c>
      <c r="C7" s="9">
        <v>37</v>
      </c>
      <c r="D7" s="9">
        <v>28</v>
      </c>
      <c r="E7" s="9">
        <v>32</v>
      </c>
      <c r="F7" s="9">
        <v>97</v>
      </c>
      <c r="J7" s="10" t="s">
        <v>45</v>
      </c>
      <c r="K7" s="10">
        <v>-7.5326055409769818E-2</v>
      </c>
    </row>
    <row r="8" spans="1:15">
      <c r="A8">
        <v>2</v>
      </c>
      <c r="B8">
        <v>0.7272747805264721</v>
      </c>
      <c r="C8" s="9">
        <v>42</v>
      </c>
      <c r="D8" s="9">
        <v>34</v>
      </c>
      <c r="E8" s="9">
        <v>45</v>
      </c>
      <c r="F8" s="9">
        <v>121</v>
      </c>
      <c r="J8" s="10" t="s">
        <v>46</v>
      </c>
      <c r="K8" s="10">
        <v>6.0834312358283051E-2</v>
      </c>
    </row>
    <row r="9" spans="1:15" ht="13.5" thickBot="1">
      <c r="A9">
        <v>2</v>
      </c>
      <c r="B9">
        <v>0.64846953732827506</v>
      </c>
      <c r="C9" s="9">
        <v>49</v>
      </c>
      <c r="D9" s="9">
        <v>25</v>
      </c>
      <c r="E9" s="9">
        <v>37</v>
      </c>
      <c r="F9" s="9">
        <v>111</v>
      </c>
      <c r="J9" s="11" t="s">
        <v>47</v>
      </c>
      <c r="K9" s="11">
        <v>13</v>
      </c>
    </row>
    <row r="10" spans="1:15">
      <c r="A10">
        <v>2</v>
      </c>
      <c r="B10">
        <v>0.68459531695970266</v>
      </c>
      <c r="C10" s="4">
        <v>37</v>
      </c>
      <c r="D10" s="4">
        <v>32</v>
      </c>
      <c r="E10" s="4">
        <v>33</v>
      </c>
      <c r="F10" s="4">
        <v>102</v>
      </c>
    </row>
    <row r="11" spans="1:15" ht="13.5" thickBot="1">
      <c r="A11">
        <v>2</v>
      </c>
      <c r="B11">
        <v>0.5284238187773066</v>
      </c>
      <c r="C11" s="4">
        <v>35</v>
      </c>
      <c r="D11" s="4">
        <v>33</v>
      </c>
      <c r="E11" s="4">
        <v>38</v>
      </c>
      <c r="F11" s="4">
        <v>106</v>
      </c>
      <c r="J11" t="s">
        <v>48</v>
      </c>
    </row>
    <row r="12" spans="1:15">
      <c r="A12">
        <v>2</v>
      </c>
      <c r="B12">
        <v>0.62117340140637012</v>
      </c>
      <c r="C12" s="4">
        <v>36</v>
      </c>
      <c r="D12" s="4">
        <v>28</v>
      </c>
      <c r="E12" s="4">
        <v>37</v>
      </c>
      <c r="F12" s="4">
        <v>101</v>
      </c>
      <c r="J12" s="12"/>
      <c r="K12" s="12" t="s">
        <v>53</v>
      </c>
      <c r="L12" s="12" t="s">
        <v>54</v>
      </c>
      <c r="M12" s="12" t="s">
        <v>55</v>
      </c>
      <c r="N12" s="12" t="s">
        <v>56</v>
      </c>
      <c r="O12" s="12" t="s">
        <v>57</v>
      </c>
    </row>
    <row r="13" spans="1:15">
      <c r="A13">
        <v>2</v>
      </c>
      <c r="B13">
        <v>0.622696221501994</v>
      </c>
      <c r="C13" s="4">
        <v>43</v>
      </c>
      <c r="D13" s="4">
        <v>29</v>
      </c>
      <c r="E13" s="4">
        <v>41</v>
      </c>
      <c r="F13" s="4">
        <v>113</v>
      </c>
      <c r="J13" s="10" t="s">
        <v>49</v>
      </c>
      <c r="K13" s="10">
        <v>3</v>
      </c>
      <c r="L13" s="10">
        <v>7.991558887163186E-3</v>
      </c>
      <c r="M13" s="10">
        <v>2.6638529623877285E-3</v>
      </c>
      <c r="N13" s="10">
        <v>0.71980198924477601</v>
      </c>
      <c r="O13" s="10">
        <v>0.56488070518224065</v>
      </c>
    </row>
    <row r="14" spans="1:15">
      <c r="A14">
        <v>2</v>
      </c>
      <c r="B14">
        <v>0.64381615500029321</v>
      </c>
      <c r="C14" s="4">
        <v>39</v>
      </c>
      <c r="D14" s="4">
        <v>26</v>
      </c>
      <c r="E14" s="4">
        <v>39</v>
      </c>
      <c r="F14" s="4">
        <v>104</v>
      </c>
      <c r="J14" s="10" t="s">
        <v>50</v>
      </c>
      <c r="K14" s="10">
        <v>9</v>
      </c>
      <c r="L14" s="10">
        <v>3.3307322040946351E-2</v>
      </c>
      <c r="M14" s="10">
        <v>3.70081356010515E-3</v>
      </c>
      <c r="N14" s="10"/>
      <c r="O14" s="10"/>
    </row>
    <row r="15" spans="1:15" ht="13.5" thickBot="1">
      <c r="J15" s="11" t="s">
        <v>51</v>
      </c>
      <c r="K15" s="11">
        <v>12</v>
      </c>
      <c r="L15" s="11">
        <v>4.1298880928109537E-2</v>
      </c>
      <c r="M15" s="11"/>
      <c r="N15" s="11"/>
      <c r="O15" s="11"/>
    </row>
    <row r="16" spans="1:15" ht="13.5" thickBot="1"/>
    <row r="17" spans="10:18">
      <c r="J17" s="12"/>
      <c r="K17" s="12" t="s">
        <v>58</v>
      </c>
      <c r="L17" s="12" t="s">
        <v>46</v>
      </c>
      <c r="M17" s="12" t="s">
        <v>59</v>
      </c>
      <c r="N17" s="12" t="s">
        <v>60</v>
      </c>
      <c r="O17" s="12" t="s">
        <v>61</v>
      </c>
      <c r="P17" s="12" t="s">
        <v>62</v>
      </c>
      <c r="Q17" s="12" t="s">
        <v>63</v>
      </c>
      <c r="R17" s="12" t="s">
        <v>64</v>
      </c>
    </row>
    <row r="18" spans="10:18">
      <c r="J18" s="10" t="s">
        <v>52</v>
      </c>
      <c r="K18" s="10">
        <v>0.38498146034218067</v>
      </c>
      <c r="L18" s="10">
        <v>0.28643016143101352</v>
      </c>
      <c r="M18" s="10">
        <v>1.3440674627937295</v>
      </c>
      <c r="N18" s="10">
        <v>0.21182418834442274</v>
      </c>
      <c r="O18" s="10">
        <v>-0.2629685809804328</v>
      </c>
      <c r="P18" s="10">
        <v>1.0329315016647942</v>
      </c>
      <c r="Q18" s="10">
        <v>-0.2629685809804328</v>
      </c>
      <c r="R18" s="10">
        <v>1.0329315016647942</v>
      </c>
    </row>
    <row r="19" spans="10:18">
      <c r="J19" s="10" t="s">
        <v>3</v>
      </c>
      <c r="K19" s="10">
        <v>3.8696281838731276E-3</v>
      </c>
      <c r="L19" s="10">
        <v>4.324537034921477E-3</v>
      </c>
      <c r="M19" s="10">
        <v>0.89480750254307639</v>
      </c>
      <c r="N19" s="10">
        <v>0.39419060992965838</v>
      </c>
      <c r="O19" s="10">
        <v>-5.9131542454606044E-3</v>
      </c>
      <c r="P19" s="10">
        <v>1.3652410613206861E-2</v>
      </c>
      <c r="Q19" s="10">
        <v>-5.9131542454606044E-3</v>
      </c>
      <c r="R19" s="10">
        <v>1.3652410613206861E-2</v>
      </c>
    </row>
    <row r="20" spans="10:18">
      <c r="J20" s="10" t="s">
        <v>4</v>
      </c>
      <c r="K20" s="10">
        <v>6.9000435213079671E-3</v>
      </c>
      <c r="L20" s="10">
        <v>5.4826561896484946E-3</v>
      </c>
      <c r="M20" s="10">
        <v>1.2585220160869406</v>
      </c>
      <c r="N20" s="10">
        <v>0.23986877802223103</v>
      </c>
      <c r="O20" s="10">
        <v>-5.5025864492652902E-3</v>
      </c>
      <c r="P20" s="10">
        <v>1.9302673491881223E-2</v>
      </c>
      <c r="Q20" s="10">
        <v>-5.5025864492652902E-3</v>
      </c>
      <c r="R20" s="10">
        <v>1.9302673491881223E-2</v>
      </c>
    </row>
    <row r="21" spans="10:18" ht="13.5" thickBot="1">
      <c r="J21" s="11" t="s">
        <v>5</v>
      </c>
      <c r="K21" s="11">
        <v>-2.577455584853559E-3</v>
      </c>
      <c r="L21" s="11">
        <v>4.6035083024281824E-3</v>
      </c>
      <c r="M21" s="11">
        <v>-0.5598894181409525</v>
      </c>
      <c r="N21" s="11">
        <v>0.58921636148241463</v>
      </c>
      <c r="O21" s="11">
        <v>-1.2991314865192479E-2</v>
      </c>
      <c r="P21" s="11">
        <v>7.8364036954853607E-3</v>
      </c>
      <c r="Q21" s="11">
        <v>-1.2991314865192479E-2</v>
      </c>
      <c r="R21" s="11">
        <v>7.8364036954853607E-3</v>
      </c>
    </row>
    <row r="25" spans="10:18">
      <c r="J25" t="s">
        <v>65</v>
      </c>
    </row>
    <row r="26" spans="10:18" ht="13.5" thickBot="1"/>
    <row r="27" spans="10:18">
      <c r="J27" s="12" t="s">
        <v>66</v>
      </c>
      <c r="K27" s="12" t="s">
        <v>67</v>
      </c>
      <c r="L27" s="12" t="s">
        <v>68</v>
      </c>
    </row>
    <row r="28" spans="10:18">
      <c r="J28" s="10">
        <v>1</v>
      </c>
      <c r="K28" s="10">
        <v>0.68331790910526391</v>
      </c>
      <c r="L28" s="10">
        <v>-7.7034593585367794E-3</v>
      </c>
    </row>
    <row r="29" spans="10:18">
      <c r="J29" s="10">
        <v>2</v>
      </c>
      <c r="K29" s="10">
        <v>0.66087953580292469</v>
      </c>
      <c r="L29" s="10">
        <v>6.8069540935426609E-2</v>
      </c>
    </row>
    <row r="30" spans="10:18">
      <c r="J30" s="10">
        <v>3</v>
      </c>
      <c r="K30" s="10">
        <v>0.6841571219517022</v>
      </c>
      <c r="L30" s="10">
        <v>2.9535023118206771E-2</v>
      </c>
    </row>
    <row r="31" spans="10:18">
      <c r="J31" s="10">
        <v>4</v>
      </c>
      <c r="K31" s="10">
        <v>0.70563664831652551</v>
      </c>
      <c r="L31" s="10">
        <v>-6.5061090701797442E-2</v>
      </c>
    </row>
    <row r="32" spans="10:18">
      <c r="J32" s="10">
        <v>5</v>
      </c>
      <c r="K32" s="10">
        <v>0.68111292738789619</v>
      </c>
      <c r="L32" s="10">
        <v>4.565871769109886E-2</v>
      </c>
    </row>
    <row r="33" spans="10:12">
      <c r="J33" s="10">
        <v>6</v>
      </c>
      <c r="K33" s="10">
        <v>0.63888034302679553</v>
      </c>
      <c r="L33" s="10">
        <v>-3.2316220120908401E-2</v>
      </c>
    </row>
    <row r="34" spans="10:12">
      <c r="J34" s="10">
        <v>7</v>
      </c>
      <c r="K34" s="10">
        <v>0.66612182247091278</v>
      </c>
      <c r="L34" s="10">
        <v>6.1152958055559314E-2</v>
      </c>
    </row>
    <row r="35" spans="10:12">
      <c r="J35" s="10">
        <v>8</v>
      </c>
      <c r="K35" s="10">
        <v>0.65172847274508139</v>
      </c>
      <c r="L35" s="10">
        <v>-3.25893541680633E-3</v>
      </c>
    </row>
    <row r="36" spans="10:12">
      <c r="J36" s="10">
        <v>9</v>
      </c>
      <c r="K36" s="10">
        <v>0.66390306152717393</v>
      </c>
      <c r="L36" s="10">
        <v>2.0692255432528728E-2</v>
      </c>
    </row>
    <row r="37" spans="10:12">
      <c r="J37" s="10">
        <v>10</v>
      </c>
      <c r="K37" s="10">
        <v>0.65017657075646784</v>
      </c>
      <c r="L37" s="10">
        <v>-0.12175275197916124</v>
      </c>
    </row>
    <row r="38" spans="10:12">
      <c r="J38" s="10">
        <v>11</v>
      </c>
      <c r="K38" s="10">
        <v>0.62212343691865468</v>
      </c>
      <c r="L38" s="10">
        <v>-9.5003551228456384E-4</v>
      </c>
    </row>
    <row r="39" spans="10:12">
      <c r="J39" s="10">
        <v>12</v>
      </c>
      <c r="K39" s="10">
        <v>0.64580105538766031</v>
      </c>
      <c r="L39" s="10">
        <v>-2.3104833885666309E-2</v>
      </c>
    </row>
    <row r="40" spans="10:12" ht="13.5" thickBot="1">
      <c r="J40" s="11">
        <v>13</v>
      </c>
      <c r="K40" s="11">
        <v>0.61477732325795109</v>
      </c>
      <c r="L40" s="11">
        <v>2.9038831742342119E-2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9E1B0-9942-41AF-B0C5-1A899D853925}">
  <sheetPr codeName="Sheet6"/>
  <dimension ref="A1:P6"/>
  <sheetViews>
    <sheetView workbookViewId="0">
      <selection activeCell="B2" sqref="B2"/>
    </sheetView>
  </sheetViews>
  <sheetFormatPr defaultRowHeight="12.75"/>
  <sheetData>
    <row r="1" spans="1:16">
      <c r="A1" t="s">
        <v>111</v>
      </c>
      <c r="B1" t="s">
        <v>107</v>
      </c>
      <c r="C1" t="s">
        <v>108</v>
      </c>
      <c r="E1" t="s">
        <v>112</v>
      </c>
      <c r="P1" s="33">
        <v>18.577999999999999</v>
      </c>
    </row>
    <row r="2" spans="1:16">
      <c r="A2">
        <v>1</v>
      </c>
      <c r="B2">
        <v>332</v>
      </c>
      <c r="C2">
        <v>3079</v>
      </c>
    </row>
    <row r="3" spans="1:16">
      <c r="A3">
        <v>2</v>
      </c>
      <c r="B3">
        <v>343</v>
      </c>
      <c r="C3">
        <v>3075</v>
      </c>
    </row>
    <row r="4" spans="1:16">
      <c r="A4">
        <v>3</v>
      </c>
      <c r="B4">
        <v>314</v>
      </c>
      <c r="C4">
        <v>3008</v>
      </c>
    </row>
    <row r="5" spans="1:16">
      <c r="A5">
        <v>4</v>
      </c>
      <c r="B5">
        <v>430</v>
      </c>
      <c r="C5">
        <v>3091</v>
      </c>
    </row>
    <row r="6" spans="1:16">
      <c r="A6">
        <v>5</v>
      </c>
      <c r="B6">
        <v>378</v>
      </c>
      <c r="C6">
        <v>3020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27FDA-D284-450F-81FD-106F8E0BF97C}">
  <dimension ref="A3:L14"/>
  <sheetViews>
    <sheetView workbookViewId="0">
      <selection activeCell="N13" sqref="N13"/>
    </sheetView>
  </sheetViews>
  <sheetFormatPr defaultRowHeight="12.75"/>
  <sheetData>
    <row r="3" spans="1:12">
      <c r="C3" s="6" t="s">
        <v>109</v>
      </c>
    </row>
    <row r="4" spans="1:12">
      <c r="C4" s="10" t="s">
        <v>52</v>
      </c>
      <c r="D4" s="32">
        <v>64.216913595698998</v>
      </c>
    </row>
    <row r="5" spans="1:12">
      <c r="C5" s="10" t="s">
        <v>3</v>
      </c>
      <c r="D5" s="10">
        <v>0.59253992413607803</v>
      </c>
    </row>
    <row r="6" spans="1:12">
      <c r="C6" s="10" t="s">
        <v>4</v>
      </c>
      <c r="D6" s="10">
        <v>0.38172058794667618</v>
      </c>
    </row>
    <row r="7" spans="1:12" ht="13.5" thickBot="1">
      <c r="C7" s="11" t="s">
        <v>5</v>
      </c>
      <c r="D7" s="11">
        <v>0.32386366278578049</v>
      </c>
    </row>
    <row r="8" spans="1:12">
      <c r="H8" t="s">
        <v>124</v>
      </c>
    </row>
    <row r="9" spans="1:12">
      <c r="D9">
        <f t="array" ref="D9:F9">TRANSPOSE(D5:D7)</f>
        <v>0.59253992413607803</v>
      </c>
      <c r="E9">
        <v>0.38172058794667618</v>
      </c>
      <c r="F9">
        <v>0.32386366278578049</v>
      </c>
      <c r="H9" s="6" t="s">
        <v>109</v>
      </c>
      <c r="J9" t="s">
        <v>125</v>
      </c>
      <c r="L9" t="s">
        <v>127</v>
      </c>
    </row>
    <row r="11" spans="1:12">
      <c r="A11">
        <v>2</v>
      </c>
      <c r="B11" t="s">
        <v>122</v>
      </c>
      <c r="C11">
        <v>113.4</v>
      </c>
      <c r="D11">
        <v>43</v>
      </c>
      <c r="E11">
        <v>32</v>
      </c>
      <c r="F11">
        <v>35</v>
      </c>
      <c r="H11">
        <f>$D$4+$D$9*D11+$E$9*E11+$F$9*F11</f>
        <v>113.24641734534632</v>
      </c>
      <c r="J11">
        <f>H11*scale</f>
        <v>2103.8919414418438</v>
      </c>
      <c r="L11">
        <f>VLOOKUP($A$11:$A$14,fingerMaxMin[],3)-J11</f>
        <v>971.10805855815624</v>
      </c>
    </row>
    <row r="12" spans="1:12">
      <c r="A12">
        <v>3</v>
      </c>
      <c r="B12" t="s">
        <v>122</v>
      </c>
      <c r="C12">
        <v>124.8</v>
      </c>
      <c r="D12">
        <v>47</v>
      </c>
      <c r="E12">
        <v>35</v>
      </c>
      <c r="F12">
        <v>42</v>
      </c>
      <c r="H12">
        <f t="shared" ref="H12:H14" si="0">$D$4+$D$9*D12+$E$9*E12+$F$9*F12</f>
        <v>119.02878444523111</v>
      </c>
      <c r="J12">
        <f>H12*scale</f>
        <v>2211.3167574235035</v>
      </c>
      <c r="L12">
        <f>VLOOKUP($A$11:$A$14,fingerMaxMin[],3)-J12</f>
        <v>796.68324257649647</v>
      </c>
    </row>
    <row r="13" spans="1:12">
      <c r="A13">
        <v>4</v>
      </c>
      <c r="B13" t="s">
        <v>122</v>
      </c>
      <c r="C13">
        <v>119.6</v>
      </c>
      <c r="D13">
        <v>48</v>
      </c>
      <c r="E13">
        <v>32</v>
      </c>
      <c r="F13">
        <v>37</v>
      </c>
      <c r="H13">
        <f t="shared" si="0"/>
        <v>116.85684429159826</v>
      </c>
      <c r="J13">
        <f>H13*scale</f>
        <v>2170.9664532493125</v>
      </c>
      <c r="L13">
        <f>VLOOKUP($A$11:$A$14,fingerMaxMin[],3)-J13</f>
        <v>920.03354675068749</v>
      </c>
    </row>
    <row r="14" spans="1:12">
      <c r="A14">
        <v>5</v>
      </c>
      <c r="B14" t="s">
        <v>122</v>
      </c>
      <c r="C14">
        <v>91.1</v>
      </c>
      <c r="D14">
        <v>41</v>
      </c>
      <c r="E14">
        <v>23</v>
      </c>
      <c r="F14">
        <v>35</v>
      </c>
      <c r="H14">
        <f t="shared" si="0"/>
        <v>108.62585220555405</v>
      </c>
      <c r="J14">
        <f>H14*scale</f>
        <v>2018.0510822747831</v>
      </c>
      <c r="L14">
        <f>VLOOKUP($A$11:$A$14,fingerMaxMin[],3)-J14</f>
        <v>1001.9489177252169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C9F3D-0CD0-4E3E-9D50-9B0F6B908309}"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img</vt:lpstr>
      <vt:lpstr>diff</vt:lpstr>
      <vt:lpstr>thumb</vt:lpstr>
      <vt:lpstr>corr</vt:lpstr>
      <vt:lpstr>calib</vt:lpstr>
      <vt:lpstr>analysis</vt:lpstr>
      <vt:lpstr>new analysis</vt:lpstr>
      <vt:lpstr>further analysis</vt:lpstr>
      <vt:lpstr>fingConstants</vt:lpstr>
      <vt:lpstr>predicc</vt:lpstr>
      <vt:lpstr>Sheet2</vt:lpstr>
      <vt:lpstr>scale</vt:lpstr>
      <vt:lpstr>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dexta</cp:lastModifiedBy>
  <cp:revision>62</cp:revision>
  <dcterms:created xsi:type="dcterms:W3CDTF">2019-07-08T16:06:46Z</dcterms:created>
  <dcterms:modified xsi:type="dcterms:W3CDTF">2019-07-27T04:31:54Z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2.6</vt:lpwstr>
  </property>
</Properties>
</file>